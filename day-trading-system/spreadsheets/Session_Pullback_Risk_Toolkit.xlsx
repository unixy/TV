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 Reference" sheetId="1" state="visible" r:id="rId1"/>
    <sheet name="Position Size Calc" sheetId="2" state="visible" r:id="rId2"/>
    <sheet name="Daily-Weekly Risk Tracker" sheetId="3" state="visible" r:id="rId3"/>
    <sheet name="Trade Jour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;($#,##0.00);-"/>
    <numFmt numFmtId="165" formatCode="#,##0.00;(#,##0.00);-"/>
    <numFmt numFmtId="166" formatCode="0.0&quot;R&quot;"/>
    <numFmt numFmtId="167" formatCode="yyyy-mm-dd"/>
    <numFmt numFmtId="168" formatCode="#,##0;(#,##0);-"/>
    <numFmt numFmtId="169" formatCode="0.00&quot;R&quot;"/>
    <numFmt numFmtId="170" formatCode="hh:mm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444444"/>
      <sz val="10"/>
    </font>
    <font>
      <name val="Arial"/>
      <b val="1"/>
      <sz val="12"/>
    </font>
    <font>
      <name val="Arial"/>
      <sz val="10"/>
    </font>
    <font>
      <name val="Arial"/>
      <color rgb="000000FF"/>
    </font>
    <font>
      <name val="Arial"/>
      <color rgb="00000000"/>
    </font>
    <font>
      <name val="Arial"/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5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9" fillId="4" borderId="1" pivotButton="0" quotePrefix="0" xfId="0"/>
    <xf numFmtId="0" fontId="0" fillId="0" borderId="0" applyAlignment="1" pivotButton="0" quotePrefix="0" xfId="0">
      <alignment wrapText="1"/>
    </xf>
    <xf numFmtId="10" fontId="9" fillId="4" borderId="1" pivotButton="0" quotePrefix="0" xfId="0"/>
    <xf numFmtId="165" fontId="9" fillId="4" borderId="1" pivotButton="0" quotePrefix="0" xfId="0"/>
    <xf numFmtId="166" fontId="9" fillId="4" borderId="1" pivotButton="0" quotePrefix="0" xfId="0"/>
    <xf numFmtId="0" fontId="9" fillId="4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0" fillId="0" borderId="1" pivotButton="0" quotePrefix="0" xfId="0"/>
    <xf numFmtId="0" fontId="5" fillId="0" borderId="1" pivotButton="0" quotePrefix="0" xfId="0"/>
    <xf numFmtId="167" fontId="9" fillId="4" borderId="1" pivotButton="0" quotePrefix="0" xfId="0"/>
    <xf numFmtId="10" fontId="10" fillId="0" borderId="1" pivotButton="0" quotePrefix="0" xfId="0"/>
    <xf numFmtId="0" fontId="11" fillId="0" borderId="1" pivotButton="0" quotePrefix="0" xfId="0"/>
    <xf numFmtId="168" fontId="9" fillId="4" borderId="1" pivotButton="0" quotePrefix="0" xfId="0"/>
    <xf numFmtId="168" fontId="10" fillId="0" borderId="1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167" fontId="4" fillId="0" borderId="1" pivotButton="0" quotePrefix="0" xfId="0"/>
    <xf numFmtId="170" fontId="4" fillId="0" borderId="1" pivotButton="0" quotePrefix="0" xfId="0"/>
    <xf numFmtId="165" fontId="4" fillId="0" borderId="1" pivotButton="0" quotePrefix="0" xfId="0"/>
    <xf numFmtId="169" fontId="10" fillId="0" borderId="1" pivotButton="0" quotePrefix="0" xfId="0"/>
    <xf numFmtId="2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2" customWidth="1" min="3" max="3"/>
  </cols>
  <sheetData>
    <row r="1">
      <c r="A1" s="1" t="inlineStr">
        <is>
          <t>Session Pullback System (SPS) - Conservative Risk Defaults</t>
        </is>
      </c>
    </row>
    <row r="2">
      <c r="A2" s="2" t="inlineStr">
        <is>
          <t>Full rules: PLAYBOOK.md. Every number here is a hypothesis to validate on your own data - not a guarantee.</t>
        </is>
      </c>
    </row>
    <row r="4">
      <c r="A4" s="3" t="inlineStr">
        <is>
          <t>Control</t>
        </is>
      </c>
      <c r="B4" s="3" t="inlineStr">
        <is>
          <t>Default</t>
        </is>
      </c>
      <c r="C4" s="3" t="inlineStr">
        <is>
          <t>Hard Ceiling / Notes</t>
        </is>
      </c>
    </row>
    <row r="5">
      <c r="A5" s="4" t="inlineStr">
        <is>
          <t>Risk per trade</t>
        </is>
      </c>
      <c r="B5" s="5" t="inlineStr">
        <is>
          <t>0.4% of equity</t>
        </is>
      </c>
      <c r="C5" s="6" t="inlineStr">
        <is>
          <t>0.5% hard ceiling</t>
        </is>
      </c>
    </row>
    <row r="6">
      <c r="A6" s="4" t="inlineStr">
        <is>
          <t>Max entries per 4H block</t>
        </is>
      </c>
      <c r="B6" s="5" t="inlineStr">
        <is>
          <t>2</t>
        </is>
      </c>
      <c r="C6" s="6" t="inlineStr">
        <is>
          <t>3 hard ceiling</t>
        </is>
      </c>
    </row>
    <row r="7">
      <c r="A7" s="4" t="inlineStr">
        <is>
          <t>Max concurrent positions</t>
        </is>
      </c>
      <c r="B7" s="5" t="inlineStr">
        <is>
          <t>1</t>
        </is>
      </c>
      <c r="C7" s="6" t="inlineStr">
        <is>
          <t>1</t>
        </is>
      </c>
    </row>
    <row r="8">
      <c r="A8" s="4" t="inlineStr">
        <is>
          <t>Daily loss limit</t>
        </is>
      </c>
      <c r="B8" s="5" t="inlineStr">
        <is>
          <t>1.2% of equity (~3R)</t>
        </is>
      </c>
      <c r="C8" s="6" t="inlineStr">
        <is>
          <t>Stop trading for the day, no exceptions</t>
        </is>
      </c>
    </row>
    <row r="9">
      <c r="A9" s="4" t="inlineStr">
        <is>
          <t>Weekly loss limit</t>
        </is>
      </c>
      <c r="B9" s="5" t="inlineStr">
        <is>
          <t>3.0% of equity</t>
        </is>
      </c>
      <c r="C9" s="6" t="inlineStr">
        <is>
          <t>Stop trading, review the week before resuming</t>
        </is>
      </c>
    </row>
    <row r="10">
      <c r="A10" s="4" t="inlineStr">
        <is>
          <t>Consecutive-loss circuit breaker</t>
        </is>
      </c>
      <c r="B10" s="5" t="inlineStr">
        <is>
          <t>2 losses in a block</t>
        </is>
      </c>
      <c r="C10" s="6" t="inlineStr">
        <is>
          <t>Stop trading that block</t>
        </is>
      </c>
    </row>
    <row r="11">
      <c r="A11" s="4" t="inlineStr">
        <is>
          <t>Minimum reward:risk to enter</t>
        </is>
      </c>
      <c r="B11" s="5" t="inlineStr">
        <is>
          <t>1.5R</t>
        </is>
      </c>
      <c r="C11" s="6" t="inlineStr">
        <is>
          <t>Do not take a trade below this</t>
        </is>
      </c>
    </row>
    <row r="12">
      <c r="A12" s="4" t="inlineStr">
        <is>
          <t>Default target</t>
        </is>
      </c>
      <c r="B12" s="5" t="inlineStr">
        <is>
          <t>2.0R</t>
        </is>
      </c>
      <c r="C12" s="6" t="inlineStr">
        <is>
          <t>Or 127.2% fib extension, whichever is closer</t>
        </is>
      </c>
    </row>
    <row r="13">
      <c r="A13" s="4" t="inlineStr">
        <is>
          <t>Move stop to breakeven at</t>
        </is>
      </c>
      <c r="B13" s="5" t="inlineStr">
        <is>
          <t>+1.0R</t>
        </is>
      </c>
      <c r="C13" s="6" t="inlineStr">
        <is>
          <t>Also take partial profit (default 50%) here</t>
        </is>
      </c>
    </row>
    <row r="14">
      <c r="A14" s="4" t="inlineStr">
        <is>
          <t>Minimum stop distance</t>
        </is>
      </c>
      <c r="B14" s="5" t="inlineStr">
        <is>
          <t>1.0x 5m ATR</t>
        </is>
      </c>
      <c r="C14" s="6" t="inlineStr">
        <is>
          <t>Tighter = skip the trade, don't force it</t>
        </is>
      </c>
    </row>
    <row r="15">
      <c r="A15" s="4" t="inlineStr">
        <is>
          <t>No new entries</t>
        </is>
      </c>
      <c r="B15" s="5" t="inlineStr">
        <is>
          <t>First 10 min / last 20 min of block</t>
        </is>
      </c>
      <c r="C15" s="6" t="inlineStr">
        <is>
          <t>Of each 4-hour session block</t>
        </is>
      </c>
    </row>
    <row r="16">
      <c r="A16" s="4" t="inlineStr">
        <is>
          <t>Hard time-stop</t>
        </is>
      </c>
      <c r="B16" s="5" t="inlineStr">
        <is>
          <t>End of every 4H block</t>
        </is>
      </c>
      <c r="C16" s="6" t="inlineStr">
        <is>
          <t>Flatten win or lose - not optional</t>
        </is>
      </c>
    </row>
    <row r="18">
      <c r="A18" s="7" t="inlineStr">
        <is>
          <t>The five rules that matter most</t>
        </is>
      </c>
    </row>
    <row r="19" ht="28" customHeight="1">
      <c r="A19" s="8" t="inlineStr">
        <is>
          <t>1. The daily loss limit is checked BEFORE every new entry, not just at end of day. The next setup after a loss always looks compelling - it isn't special. Stop anyway.</t>
        </is>
      </c>
    </row>
    <row r="20" ht="28" customHeight="1">
      <c r="A20" s="8" t="inlineStr">
        <is>
          <t>2. Never add to a loser. Never move a stop to give a trade "more room."</t>
        </is>
      </c>
    </row>
    <row r="21" ht="28" customHeight="1">
      <c r="A21" s="8" t="inlineStr">
        <is>
          <t>3. The stop only tightens, never widens, and is never removed.</t>
        </is>
      </c>
    </row>
    <row r="22" ht="28" customHeight="1">
      <c r="A22" s="8" t="inlineStr">
        <is>
          <t>4. The hard time-stop overrides everything, including a trade that's currently winning.</t>
        </is>
      </c>
    </row>
    <row r="23" ht="28" customHeight="1">
      <c r="A23" s="8" t="inlineStr">
        <is>
          <t>5. A rule you didn't follow doesn't count as evidence for or against the system - log it honestly in the Trade Journal tab.</t>
        </is>
      </c>
    </row>
  </sheetData>
  <mergeCells count="5">
    <mergeCell ref="A19:C19"/>
    <mergeCell ref="A23:C23"/>
    <mergeCell ref="A22:C22"/>
    <mergeCell ref="A21:C21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4" customWidth="1" min="3" max="3"/>
    <col width="48" customWidth="1" min="4" max="4"/>
  </cols>
  <sheetData>
    <row r="1">
      <c r="A1" s="1" t="inlineStr">
        <is>
          <t>Position Size Calculator</t>
        </is>
      </c>
    </row>
    <row r="2">
      <c r="A2" s="2" t="inlineStr">
        <is>
          <t>Fill in the yellow cells before every trade. Do not take the trade if row 20 or row 24 say not to.</t>
        </is>
      </c>
    </row>
    <row r="4">
      <c r="A4" s="9" t="inlineStr">
        <is>
          <t>INPUTS</t>
        </is>
      </c>
      <c r="B4" s="10" t="n"/>
      <c r="D4" s="11" t="inlineStr">
        <is>
          <t>Notes</t>
        </is>
      </c>
    </row>
    <row r="5">
      <c r="A5" s="12" t="inlineStr">
        <is>
          <t>Account Equity ($)</t>
        </is>
      </c>
      <c r="B5" s="13" t="n">
        <v>25000</v>
      </c>
      <c r="D5" s="14" t="inlineStr">
        <is>
          <t>Position sizing formula: risk_dollars = equity x risk%; position_size = floor(risk_dollars / |entry - stop|). See PLAYBOOK.md section 9.</t>
        </is>
      </c>
    </row>
    <row r="6">
      <c r="A6" s="12" t="inlineStr">
        <is>
          <t>Risk % per Trade</t>
        </is>
      </c>
      <c r="B6" s="15" t="n">
        <v>0.004</v>
      </c>
    </row>
    <row r="7">
      <c r="A7" s="12" t="inlineStr">
        <is>
          <t>Entry Price</t>
        </is>
      </c>
      <c r="B7" s="16" t="n">
        <v>100</v>
      </c>
    </row>
    <row r="8">
      <c r="A8" s="12" t="inlineStr">
        <is>
          <t>Stop Price</t>
        </is>
      </c>
      <c r="B8" s="16" t="n">
        <v>99.5</v>
      </c>
    </row>
    <row r="9">
      <c r="A9" s="12" t="inlineStr">
        <is>
          <t>Target R Multiple</t>
        </is>
      </c>
      <c r="B9" s="17" t="n">
        <v>2</v>
      </c>
    </row>
    <row r="10">
      <c r="A10" s="12" t="inlineStr">
        <is>
          <t>Allow Fractional Size? (Y/N)</t>
        </is>
      </c>
      <c r="B10" s="18" t="inlineStr">
        <is>
          <t>N</t>
        </is>
      </c>
    </row>
    <row r="11">
      <c r="A11" s="12" t="inlineStr">
        <is>
          <t>Current 5-min ATR (optional, for stop-floor check)</t>
        </is>
      </c>
      <c r="B11" s="16" t="n">
        <v>0.35</v>
      </c>
    </row>
    <row r="13">
      <c r="A13" s="9" t="inlineStr">
        <is>
          <t>RESULTS</t>
        </is>
      </c>
      <c r="B13" s="10" t="n"/>
    </row>
    <row r="14">
      <c r="A14" s="12" t="inlineStr">
        <is>
          <t>Risk $ (equity x risk %)</t>
        </is>
      </c>
      <c r="B14" s="19">
        <f>B5*B6</f>
        <v/>
      </c>
    </row>
    <row r="15">
      <c r="A15" s="12" t="inlineStr">
        <is>
          <t>Stop Distance ($)</t>
        </is>
      </c>
      <c r="B15" s="20">
        <f>ABS(B7-B8)</f>
        <v/>
      </c>
    </row>
    <row r="16">
      <c r="A16" s="12" t="inlineStr">
        <is>
          <t>Direction (Long/Short)</t>
        </is>
      </c>
      <c r="B16" s="21">
        <f>IF(B7&gt;B8,"LONG","SHORT")</f>
        <v/>
      </c>
    </row>
    <row r="17">
      <c r="A17" s="12" t="inlineStr">
        <is>
          <t>Raw Position Size</t>
        </is>
      </c>
      <c r="B17" s="20">
        <f>IFERROR(B14/B15,0)</f>
        <v/>
      </c>
    </row>
    <row r="18">
      <c r="A18" s="12" t="inlineStr">
        <is>
          <t>Position Size (use this)</t>
        </is>
      </c>
      <c r="B18" s="20">
        <f>IF(UPPER(B10)="Y",B17,ROUNDDOWN(B17,0))</f>
        <v/>
      </c>
    </row>
    <row r="19">
      <c r="A19" s="12" t="inlineStr">
        <is>
          <t>Position $ Value</t>
        </is>
      </c>
      <c r="B19" s="19">
        <f>B18*B7</f>
        <v/>
      </c>
    </row>
    <row r="20">
      <c r="A20" s="12" t="inlineStr">
        <is>
          <t>R:R Check (min 1.5R)</t>
        </is>
      </c>
      <c r="B20" s="22">
        <f>IF(B9&gt;=1.5,"OK","BELOW MINIMUM - DO NOT TAKE")</f>
        <v/>
      </c>
    </row>
    <row r="21">
      <c r="A21" s="12" t="inlineStr">
        <is>
          <t>Risk % Ceiling Check (max 0.5%)</t>
        </is>
      </c>
      <c r="B21" s="22">
        <f>IF(B6&gt;0.005,"ABOVE HARD CEILING - REDUCE SIZE","OK")</f>
        <v/>
      </c>
    </row>
    <row r="22">
      <c r="A22" s="12" t="inlineStr">
        <is>
          <t>Target Price</t>
        </is>
      </c>
      <c r="B22" s="20">
        <f>IF(B16="LONG",B7+B15*B9,B7-B15*B9)</f>
        <v/>
      </c>
    </row>
    <row r="23">
      <c r="A23" s="12" t="inlineStr">
        <is>
          <t>Potential Reward $ (at target)</t>
        </is>
      </c>
      <c r="B23" s="19">
        <f>B18*B15*B9</f>
        <v/>
      </c>
    </row>
    <row r="24">
      <c r="A24" s="12" t="inlineStr">
        <is>
          <t>Stop-Floor Check (min 1.0x ATR)</t>
        </is>
      </c>
      <c r="B24" s="22">
        <f>IF(B11=0,"",IF(B15/B11&gt;=1,"OK","STOP TOO TIGHT - SKIP TRADE"))</f>
        <v/>
      </c>
    </row>
    <row r="25">
      <c r="A25" s="12" t="inlineStr">
        <is>
          <t>Breakeven Trigger Price (+1R)</t>
        </is>
      </c>
      <c r="B25" s="20">
        <f>IF(B16="LONG",B7+B15,B7-B15)</f>
        <v/>
      </c>
    </row>
  </sheetData>
  <mergeCells count="1">
    <mergeCell ref="D5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34" customWidth="1" min="4" max="4"/>
    <col width="18" customWidth="1" min="5" max="5"/>
  </cols>
  <sheetData>
    <row r="1">
      <c r="A1" s="1" t="inlineStr">
        <is>
          <t>Daily &amp; Weekly Risk Tracker</t>
        </is>
      </c>
    </row>
    <row r="2">
      <c r="A2" s="2" t="inlineStr">
        <is>
          <t>Update the date/equity inputs each session. Pulls realized P&amp;L from the Trade Journal tab automatically.</t>
        </is>
      </c>
    </row>
    <row r="4">
      <c r="A4" s="9" t="inlineStr">
        <is>
          <t>TODAY</t>
        </is>
      </c>
      <c r="B4" s="10" t="n"/>
      <c r="D4" s="9" t="inlineStr">
        <is>
          <t>THIS WEEK</t>
        </is>
      </c>
      <c r="E4" s="10" t="n"/>
    </row>
    <row r="5">
      <c r="A5" s="12" t="inlineStr">
        <is>
          <t>Today's Date</t>
        </is>
      </c>
      <c r="B5" s="23">
        <f>TODAY()</f>
        <v/>
      </c>
      <c r="D5" s="12" t="inlineStr">
        <is>
          <t>Week Start Date (Mon)</t>
        </is>
      </c>
      <c r="E5" s="23" t="n"/>
    </row>
    <row r="6">
      <c r="A6" s="12" t="inlineStr">
        <is>
          <t>Day Start Equity ($)</t>
        </is>
      </c>
      <c r="B6" s="13" t="n">
        <v>25000</v>
      </c>
      <c r="D6" s="12" t="inlineStr">
        <is>
          <t>Week End Date (Fri)</t>
        </is>
      </c>
      <c r="E6" s="23" t="n"/>
    </row>
    <row r="7">
      <c r="A7" s="12" t="inlineStr">
        <is>
          <t>Realized P&amp;L Today ($)</t>
        </is>
      </c>
      <c r="B7" s="19">
        <f>SUMIFS('Trade Journal'!S5:S500,'Trade Journal'!A5:A500,B5)</f>
        <v/>
      </c>
      <c r="D7" s="12" t="inlineStr">
        <is>
          <t>Week Start Equity ($)</t>
        </is>
      </c>
      <c r="E7" s="13" t="n">
        <v>25000</v>
      </c>
    </row>
    <row r="8">
      <c r="A8" s="12" t="inlineStr">
        <is>
          <t>Daily Loss %</t>
        </is>
      </c>
      <c r="B8" s="24">
        <f>IFERROR(B7/B6,0)</f>
        <v/>
      </c>
      <c r="D8" s="12" t="inlineStr">
        <is>
          <t>Realized P&amp;L This Week ($)</t>
        </is>
      </c>
      <c r="E8" s="19">
        <f>SUMIFS('Trade Journal'!S5:S500,'Trade Journal'!A5:A500,"&gt;="&amp;E5,'Trade Journal'!A5:A500,"&lt;="&amp;E6)</f>
        <v/>
      </c>
    </row>
    <row r="9">
      <c r="A9" s="12" t="inlineStr">
        <is>
          <t>Daily Loss Limit</t>
        </is>
      </c>
      <c r="B9" s="24" t="n">
        <v>-0.012</v>
      </c>
      <c r="D9" s="12" t="inlineStr">
        <is>
          <t>Weekly Loss %</t>
        </is>
      </c>
      <c r="E9" s="24">
        <f>IFERROR(E8/E7,0)</f>
        <v/>
      </c>
    </row>
    <row r="10">
      <c r="A10" s="12" t="inlineStr">
        <is>
          <t>Status</t>
        </is>
      </c>
      <c r="B10" s="25">
        <f>IF(B8&lt;=B9,"STOP - DAILY LIMIT HIT","OK")</f>
        <v/>
      </c>
      <c r="D10" s="12" t="inlineStr">
        <is>
          <t>Weekly Loss Limit</t>
        </is>
      </c>
      <c r="E10" s="24" t="n">
        <v>-0.03</v>
      </c>
    </row>
    <row r="11">
      <c r="D11" s="12" t="inlineStr">
        <is>
          <t>Status</t>
        </is>
      </c>
      <c r="E11" s="25">
        <f>IF(E9&lt;=E10,"STOP - WEEKLY LIMIT HIT. Review before resuming.","OK")</f>
        <v/>
      </c>
    </row>
    <row r="12">
      <c r="A12" s="12" t="inlineStr">
        <is>
          <t>Trades taken this block</t>
        </is>
      </c>
      <c r="B12" s="26" t="n">
        <v>0</v>
      </c>
    </row>
    <row r="13">
      <c r="A13" s="12" t="inlineStr">
        <is>
          <t>Max entries per block</t>
        </is>
      </c>
      <c r="B13" s="27" t="n">
        <v>2</v>
      </c>
    </row>
    <row r="14">
      <c r="A14" s="12" t="inlineStr">
        <is>
          <t>Consecutive losses this block</t>
        </is>
      </c>
      <c r="B14" s="26" t="n">
        <v>0</v>
      </c>
    </row>
    <row r="15">
      <c r="A15" s="12" t="inlineStr">
        <is>
          <t>Consecutive-loss breaker</t>
        </is>
      </c>
      <c r="B15" s="27" t="n">
        <v>2</v>
      </c>
    </row>
    <row r="16">
      <c r="A16" s="12" t="inlineStr">
        <is>
          <t>Block Status</t>
        </is>
      </c>
      <c r="B16" s="25">
        <f>IF(B14&gt;=B15,"STOP - CONSECUTIVE LOSS BREAKER",IF(B12&gt;=B13,"STOP - MAX ENTRIES REACHED","OK TO TRADE"))</f>
        <v/>
      </c>
    </row>
    <row r="18">
      <c r="A18" s="28" t="inlineStr">
        <is>
          <t>Reminder: this tracker reads REALIZED P&amp;L only (closed trades from the Trade Journal). An open position's unrealized loss is not yet counted here - do not use that as a loophole.</t>
        </is>
      </c>
    </row>
    <row r="19"/>
  </sheetData>
  <mergeCells count="1">
    <mergeCell ref="A18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12" customWidth="1" min="19" max="19"/>
    <col width="10" customWidth="1" min="20" max="20"/>
    <col width="10" customWidth="1" min="21" max="21"/>
    <col width="10" customWidth="1" min="22" max="22"/>
    <col width="30" customWidth="1" min="23" max="23"/>
  </cols>
  <sheetData>
    <row r="1">
      <c r="A1" s="1" t="inlineStr">
        <is>
          <t>Trade Journal</t>
        </is>
      </c>
    </row>
    <row r="2">
      <c r="A2" s="2" t="inlineStr">
        <is>
          <t>Log every trade taken, and every A+ setup correctly skipped due to a filter. Column O uses the equity in B3.</t>
        </is>
      </c>
    </row>
    <row r="3">
      <c r="A3" s="12" t="inlineStr">
        <is>
          <t>Account Equity (for Risk % of Equity column)</t>
        </is>
      </c>
      <c r="B3" s="13" t="n">
        <v>25000</v>
      </c>
    </row>
    <row r="4" ht="32" customHeight="1">
      <c r="A4" s="29" t="inlineStr">
        <is>
          <t>Date</t>
        </is>
      </c>
      <c r="B4" s="29" t="inlineStr">
        <is>
          <t>Block Start</t>
        </is>
      </c>
      <c r="C4" s="29" t="inlineStr">
        <is>
          <t>Symbol</t>
        </is>
      </c>
      <c r="D4" s="29" t="inlineStr">
        <is>
          <t>Side</t>
        </is>
      </c>
      <c r="E4" s="29" t="inlineStr">
        <is>
          <t>4H Bias
Confirmed?</t>
        </is>
      </c>
      <c r="F4" s="29" t="inlineStr">
        <is>
          <t>Fib+VWAP/EMA
Confluence?</t>
        </is>
      </c>
      <c r="G4" s="29" t="inlineStr">
        <is>
          <t>Entry Time</t>
        </is>
      </c>
      <c r="H4" s="29" t="inlineStr">
        <is>
          <t>Entry Price</t>
        </is>
      </c>
      <c r="I4" s="29" t="inlineStr">
        <is>
          <t>Stop Price</t>
        </is>
      </c>
      <c r="J4" s="29" t="inlineStr">
        <is>
          <t>Target Price</t>
        </is>
      </c>
      <c r="K4" s="29" t="inlineStr">
        <is>
          <t>Stop Distance</t>
        </is>
      </c>
      <c r="L4" s="29" t="inlineStr">
        <is>
          <t>R:R at Entry</t>
        </is>
      </c>
      <c r="M4" s="29" t="inlineStr">
        <is>
          <t>Position Size</t>
        </is>
      </c>
      <c r="N4" s="29" t="inlineStr">
        <is>
          <t>Risk $</t>
        </is>
      </c>
      <c r="O4" s="29" t="inlineStr">
        <is>
          <t>Risk % of Equity</t>
        </is>
      </c>
      <c r="P4" s="29" t="inlineStr">
        <is>
          <t>Exit Time</t>
        </is>
      </c>
      <c r="Q4" s="29" t="inlineStr">
        <is>
          <t>Exit Price</t>
        </is>
      </c>
      <c r="R4" s="29" t="inlineStr">
        <is>
          <t>Exit Reason</t>
        </is>
      </c>
      <c r="S4" s="29" t="inlineStr">
        <is>
          <t>Realized P&amp;L $</t>
        </is>
      </c>
      <c r="T4" s="29" t="inlineStr">
        <is>
          <t>R Multiple</t>
        </is>
      </c>
      <c r="U4" s="29" t="inlineStr">
        <is>
          <t>Breakeven
Moved?</t>
        </is>
      </c>
      <c r="V4" s="29" t="inlineStr">
        <is>
          <t>All Rules
Followed?</t>
        </is>
      </c>
      <c r="W4" s="29" t="inlineStr">
        <is>
          <t>Notes</t>
        </is>
      </c>
    </row>
    <row r="5">
      <c r="A5" s="30" t="inlineStr">
        <is>
          <t>2026-01-15</t>
        </is>
      </c>
      <c r="B5" s="4" t="inlineStr">
        <is>
          <t>09:30</t>
        </is>
      </c>
      <c r="C5" s="4" t="inlineStr">
        <is>
          <t>AAPL</t>
        </is>
      </c>
      <c r="D5" s="4" t="inlineStr">
        <is>
          <t>Long</t>
        </is>
      </c>
      <c r="E5" s="4" t="inlineStr">
        <is>
          <t>Y</t>
        </is>
      </c>
      <c r="F5" s="4" t="inlineStr">
        <is>
          <t>Y</t>
        </is>
      </c>
      <c r="G5" s="31" t="inlineStr">
        <is>
          <t>09:41</t>
        </is>
      </c>
      <c r="H5" s="32" t="n">
        <v>227.4</v>
      </c>
      <c r="I5" s="32" t="n">
        <v>226.55</v>
      </c>
      <c r="J5" s="32" t="n">
        <v>229.1</v>
      </c>
      <c r="K5" s="20">
        <f>IF(AND(H5&lt;&gt;"",I5&lt;&gt;""),ABS(H5-I5),"")</f>
        <v/>
      </c>
      <c r="L5" s="33">
        <f>IFERROR(ABS(J5-H5)/K5,"")</f>
        <v/>
      </c>
      <c r="M5" s="4" t="n">
        <v>47</v>
      </c>
      <c r="N5" s="19">
        <f>IF(AND(K5&lt;&gt;"",M5&lt;&gt;""),K5*M5,"")</f>
        <v/>
      </c>
      <c r="O5" s="24">
        <f>IFERROR(N5/$B$3,"")</f>
        <v/>
      </c>
      <c r="P5" s="31" t="inlineStr">
        <is>
          <t>10:05</t>
        </is>
      </c>
      <c r="Q5" s="32" t="n">
        <v>229.1</v>
      </c>
      <c r="R5" s="4" t="inlineStr">
        <is>
          <t>Target</t>
        </is>
      </c>
      <c r="S5" s="13" t="n">
        <v>79.90000000000001</v>
      </c>
      <c r="T5" s="33">
        <f>IFERROR(S5/N5,"")</f>
        <v/>
      </c>
      <c r="U5" s="4" t="inlineStr">
        <is>
          <t>Y</t>
        </is>
      </c>
      <c r="V5" s="4" t="inlineStr">
        <is>
          <t>Y</t>
        </is>
      </c>
      <c r="W5" s="4" t="inlineStr">
        <is>
          <t>EXAMPLE ROW - overwrite or delete. Pullback to VWAP + 61.8%, RSI reclaim, vol confirmed.</t>
        </is>
      </c>
    </row>
    <row r="6">
      <c r="A6" s="30" t="n"/>
      <c r="B6" s="4" t="n"/>
      <c r="C6" s="4" t="n"/>
      <c r="D6" s="4" t="n"/>
      <c r="E6" s="4" t="n"/>
      <c r="F6" s="4" t="n"/>
      <c r="G6" s="31" t="n"/>
      <c r="H6" s="32" t="n"/>
      <c r="I6" s="32" t="n"/>
      <c r="J6" s="32" t="n"/>
      <c r="K6" s="20">
        <f>IF(AND(H6&lt;&gt;"",I6&lt;&gt;""),ABS(H6-I6),"")</f>
        <v/>
      </c>
      <c r="L6" s="33">
        <f>IFERROR(ABS(J6-H6)/K6,"")</f>
        <v/>
      </c>
      <c r="M6" s="4" t="n"/>
      <c r="N6" s="19">
        <f>IF(AND(K6&lt;&gt;"",M6&lt;&gt;""),K6*M6,"")</f>
        <v/>
      </c>
      <c r="O6" s="24">
        <f>IFERROR(N6/$B$3,"")</f>
        <v/>
      </c>
      <c r="P6" s="31" t="n"/>
      <c r="Q6" s="32" t="n"/>
      <c r="R6" s="4" t="n"/>
      <c r="S6" s="13" t="n"/>
      <c r="T6" s="33">
        <f>IFERROR(S6/N6,"")</f>
        <v/>
      </c>
      <c r="U6" s="4" t="n"/>
      <c r="V6" s="4" t="n"/>
      <c r="W6" s="4" t="n"/>
    </row>
    <row r="7">
      <c r="A7" s="30" t="n"/>
      <c r="B7" s="4" t="n"/>
      <c r="C7" s="4" t="n"/>
      <c r="D7" s="4" t="n"/>
      <c r="E7" s="4" t="n"/>
      <c r="F7" s="4" t="n"/>
      <c r="G7" s="31" t="n"/>
      <c r="H7" s="32" t="n"/>
      <c r="I7" s="32" t="n"/>
      <c r="J7" s="32" t="n"/>
      <c r="K7" s="20">
        <f>IF(AND(H7&lt;&gt;"",I7&lt;&gt;""),ABS(H7-I7),"")</f>
        <v/>
      </c>
      <c r="L7" s="33">
        <f>IFERROR(ABS(J7-H7)/K7,"")</f>
        <v/>
      </c>
      <c r="M7" s="4" t="n"/>
      <c r="N7" s="19">
        <f>IF(AND(K7&lt;&gt;"",M7&lt;&gt;""),K7*M7,"")</f>
        <v/>
      </c>
      <c r="O7" s="24">
        <f>IFERROR(N7/$B$3,"")</f>
        <v/>
      </c>
      <c r="P7" s="31" t="n"/>
      <c r="Q7" s="32" t="n"/>
      <c r="R7" s="4" t="n"/>
      <c r="S7" s="13" t="n"/>
      <c r="T7" s="33">
        <f>IFERROR(S7/N7,"")</f>
        <v/>
      </c>
      <c r="U7" s="4" t="n"/>
      <c r="V7" s="4" t="n"/>
      <c r="W7" s="4" t="n"/>
    </row>
    <row r="8">
      <c r="A8" s="30" t="n"/>
      <c r="B8" s="4" t="n"/>
      <c r="C8" s="4" t="n"/>
      <c r="D8" s="4" t="n"/>
      <c r="E8" s="4" t="n"/>
      <c r="F8" s="4" t="n"/>
      <c r="G8" s="31" t="n"/>
      <c r="H8" s="32" t="n"/>
      <c r="I8" s="32" t="n"/>
      <c r="J8" s="32" t="n"/>
      <c r="K8" s="20">
        <f>IF(AND(H8&lt;&gt;"",I8&lt;&gt;""),ABS(H8-I8),"")</f>
        <v/>
      </c>
      <c r="L8" s="33">
        <f>IFERROR(ABS(J8-H8)/K8,"")</f>
        <v/>
      </c>
      <c r="M8" s="4" t="n"/>
      <c r="N8" s="19">
        <f>IF(AND(K8&lt;&gt;"",M8&lt;&gt;""),K8*M8,"")</f>
        <v/>
      </c>
      <c r="O8" s="24">
        <f>IFERROR(N8/$B$3,"")</f>
        <v/>
      </c>
      <c r="P8" s="31" t="n"/>
      <c r="Q8" s="32" t="n"/>
      <c r="R8" s="4" t="n"/>
      <c r="S8" s="13" t="n"/>
      <c r="T8" s="33">
        <f>IFERROR(S8/N8,"")</f>
        <v/>
      </c>
      <c r="U8" s="4" t="n"/>
      <c r="V8" s="4" t="n"/>
      <c r="W8" s="4" t="n"/>
    </row>
    <row r="9">
      <c r="A9" s="30" t="n"/>
      <c r="B9" s="4" t="n"/>
      <c r="C9" s="4" t="n"/>
      <c r="D9" s="4" t="n"/>
      <c r="E9" s="4" t="n"/>
      <c r="F9" s="4" t="n"/>
      <c r="G9" s="31" t="n"/>
      <c r="H9" s="32" t="n"/>
      <c r="I9" s="32" t="n"/>
      <c r="J9" s="32" t="n"/>
      <c r="K9" s="20">
        <f>IF(AND(H9&lt;&gt;"",I9&lt;&gt;""),ABS(H9-I9),"")</f>
        <v/>
      </c>
      <c r="L9" s="33">
        <f>IFERROR(ABS(J9-H9)/K9,"")</f>
        <v/>
      </c>
      <c r="M9" s="4" t="n"/>
      <c r="N9" s="19">
        <f>IF(AND(K9&lt;&gt;"",M9&lt;&gt;""),K9*M9,"")</f>
        <v/>
      </c>
      <c r="O9" s="24">
        <f>IFERROR(N9/$B$3,"")</f>
        <v/>
      </c>
      <c r="P9" s="31" t="n"/>
      <c r="Q9" s="32" t="n"/>
      <c r="R9" s="4" t="n"/>
      <c r="S9" s="13" t="n"/>
      <c r="T9" s="33">
        <f>IFERROR(S9/N9,"")</f>
        <v/>
      </c>
      <c r="U9" s="4" t="n"/>
      <c r="V9" s="4" t="n"/>
      <c r="W9" s="4" t="n"/>
    </row>
    <row r="10">
      <c r="A10" s="30" t="n"/>
      <c r="B10" s="4" t="n"/>
      <c r="C10" s="4" t="n"/>
      <c r="D10" s="4" t="n"/>
      <c r="E10" s="4" t="n"/>
      <c r="F10" s="4" t="n"/>
      <c r="G10" s="31" t="n"/>
      <c r="H10" s="32" t="n"/>
      <c r="I10" s="32" t="n"/>
      <c r="J10" s="32" t="n"/>
      <c r="K10" s="20">
        <f>IF(AND(H10&lt;&gt;"",I10&lt;&gt;""),ABS(H10-I10),"")</f>
        <v/>
      </c>
      <c r="L10" s="33">
        <f>IFERROR(ABS(J10-H10)/K10,"")</f>
        <v/>
      </c>
      <c r="M10" s="4" t="n"/>
      <c r="N10" s="19">
        <f>IF(AND(K10&lt;&gt;"",M10&lt;&gt;""),K10*M10,"")</f>
        <v/>
      </c>
      <c r="O10" s="24">
        <f>IFERROR(N10/$B$3,"")</f>
        <v/>
      </c>
      <c r="P10" s="31" t="n"/>
      <c r="Q10" s="32" t="n"/>
      <c r="R10" s="4" t="n"/>
      <c r="S10" s="13" t="n"/>
      <c r="T10" s="33">
        <f>IFERROR(S10/N10,"")</f>
        <v/>
      </c>
      <c r="U10" s="4" t="n"/>
      <c r="V10" s="4" t="n"/>
      <c r="W10" s="4" t="n"/>
    </row>
    <row r="11">
      <c r="A11" s="30" t="n"/>
      <c r="B11" s="4" t="n"/>
      <c r="C11" s="4" t="n"/>
      <c r="D11" s="4" t="n"/>
      <c r="E11" s="4" t="n"/>
      <c r="F11" s="4" t="n"/>
      <c r="G11" s="31" t="n"/>
      <c r="H11" s="32" t="n"/>
      <c r="I11" s="32" t="n"/>
      <c r="J11" s="32" t="n"/>
      <c r="K11" s="20">
        <f>IF(AND(H11&lt;&gt;"",I11&lt;&gt;""),ABS(H11-I11),"")</f>
        <v/>
      </c>
      <c r="L11" s="33">
        <f>IFERROR(ABS(J11-H11)/K11,"")</f>
        <v/>
      </c>
      <c r="M11" s="4" t="n"/>
      <c r="N11" s="19">
        <f>IF(AND(K11&lt;&gt;"",M11&lt;&gt;""),K11*M11,"")</f>
        <v/>
      </c>
      <c r="O11" s="24">
        <f>IFERROR(N11/$B$3,"")</f>
        <v/>
      </c>
      <c r="P11" s="31" t="n"/>
      <c r="Q11" s="32" t="n"/>
      <c r="R11" s="4" t="n"/>
      <c r="S11" s="13" t="n"/>
      <c r="T11" s="33">
        <f>IFERROR(S11/N11,"")</f>
        <v/>
      </c>
      <c r="U11" s="4" t="n"/>
      <c r="V11" s="4" t="n"/>
      <c r="W11" s="4" t="n"/>
    </row>
    <row r="12">
      <c r="A12" s="30" t="n"/>
      <c r="B12" s="4" t="n"/>
      <c r="C12" s="4" t="n"/>
      <c r="D12" s="4" t="n"/>
      <c r="E12" s="4" t="n"/>
      <c r="F12" s="4" t="n"/>
      <c r="G12" s="31" t="n"/>
      <c r="H12" s="32" t="n"/>
      <c r="I12" s="32" t="n"/>
      <c r="J12" s="32" t="n"/>
      <c r="K12" s="20">
        <f>IF(AND(H12&lt;&gt;"",I12&lt;&gt;""),ABS(H12-I12),"")</f>
        <v/>
      </c>
      <c r="L12" s="33">
        <f>IFERROR(ABS(J12-H12)/K12,"")</f>
        <v/>
      </c>
      <c r="M12" s="4" t="n"/>
      <c r="N12" s="19">
        <f>IF(AND(K12&lt;&gt;"",M12&lt;&gt;""),K12*M12,"")</f>
        <v/>
      </c>
      <c r="O12" s="24">
        <f>IFERROR(N12/$B$3,"")</f>
        <v/>
      </c>
      <c r="P12" s="31" t="n"/>
      <c r="Q12" s="32" t="n"/>
      <c r="R12" s="4" t="n"/>
      <c r="S12" s="13" t="n"/>
      <c r="T12" s="33">
        <f>IFERROR(S12/N12,"")</f>
        <v/>
      </c>
      <c r="U12" s="4" t="n"/>
      <c r="V12" s="4" t="n"/>
      <c r="W12" s="4" t="n"/>
    </row>
    <row r="13">
      <c r="A13" s="30" t="n"/>
      <c r="B13" s="4" t="n"/>
      <c r="C13" s="4" t="n"/>
      <c r="D13" s="4" t="n"/>
      <c r="E13" s="4" t="n"/>
      <c r="F13" s="4" t="n"/>
      <c r="G13" s="31" t="n"/>
      <c r="H13" s="32" t="n"/>
      <c r="I13" s="32" t="n"/>
      <c r="J13" s="32" t="n"/>
      <c r="K13" s="20">
        <f>IF(AND(H13&lt;&gt;"",I13&lt;&gt;""),ABS(H13-I13),"")</f>
        <v/>
      </c>
      <c r="L13" s="33">
        <f>IFERROR(ABS(J13-H13)/K13,"")</f>
        <v/>
      </c>
      <c r="M13" s="4" t="n"/>
      <c r="N13" s="19">
        <f>IF(AND(K13&lt;&gt;"",M13&lt;&gt;""),K13*M13,"")</f>
        <v/>
      </c>
      <c r="O13" s="24">
        <f>IFERROR(N13/$B$3,"")</f>
        <v/>
      </c>
      <c r="P13" s="31" t="n"/>
      <c r="Q13" s="32" t="n"/>
      <c r="R13" s="4" t="n"/>
      <c r="S13" s="13" t="n"/>
      <c r="T13" s="33">
        <f>IFERROR(S13/N13,"")</f>
        <v/>
      </c>
      <c r="U13" s="4" t="n"/>
      <c r="V13" s="4" t="n"/>
      <c r="W13" s="4" t="n"/>
    </row>
    <row r="14">
      <c r="A14" s="30" t="n"/>
      <c r="B14" s="4" t="n"/>
      <c r="C14" s="4" t="n"/>
      <c r="D14" s="4" t="n"/>
      <c r="E14" s="4" t="n"/>
      <c r="F14" s="4" t="n"/>
      <c r="G14" s="31" t="n"/>
      <c r="H14" s="32" t="n"/>
      <c r="I14" s="32" t="n"/>
      <c r="J14" s="32" t="n"/>
      <c r="K14" s="20">
        <f>IF(AND(H14&lt;&gt;"",I14&lt;&gt;""),ABS(H14-I14),"")</f>
        <v/>
      </c>
      <c r="L14" s="33">
        <f>IFERROR(ABS(J14-H14)/K14,"")</f>
        <v/>
      </c>
      <c r="M14" s="4" t="n"/>
      <c r="N14" s="19">
        <f>IF(AND(K14&lt;&gt;"",M14&lt;&gt;""),K14*M14,"")</f>
        <v/>
      </c>
      <c r="O14" s="24">
        <f>IFERROR(N14/$B$3,"")</f>
        <v/>
      </c>
      <c r="P14" s="31" t="n"/>
      <c r="Q14" s="32" t="n"/>
      <c r="R14" s="4" t="n"/>
      <c r="S14" s="13" t="n"/>
      <c r="T14" s="33">
        <f>IFERROR(S14/N14,"")</f>
        <v/>
      </c>
      <c r="U14" s="4" t="n"/>
      <c r="V14" s="4" t="n"/>
      <c r="W14" s="4" t="n"/>
    </row>
    <row r="15">
      <c r="A15" s="30" t="n"/>
      <c r="B15" s="4" t="n"/>
      <c r="C15" s="4" t="n"/>
      <c r="D15" s="4" t="n"/>
      <c r="E15" s="4" t="n"/>
      <c r="F15" s="4" t="n"/>
      <c r="G15" s="31" t="n"/>
      <c r="H15" s="32" t="n"/>
      <c r="I15" s="32" t="n"/>
      <c r="J15" s="32" t="n"/>
      <c r="K15" s="20">
        <f>IF(AND(H15&lt;&gt;"",I15&lt;&gt;""),ABS(H15-I15),"")</f>
        <v/>
      </c>
      <c r="L15" s="33">
        <f>IFERROR(ABS(J15-H15)/K15,"")</f>
        <v/>
      </c>
      <c r="M15" s="4" t="n"/>
      <c r="N15" s="19">
        <f>IF(AND(K15&lt;&gt;"",M15&lt;&gt;""),K15*M15,"")</f>
        <v/>
      </c>
      <c r="O15" s="24">
        <f>IFERROR(N15/$B$3,"")</f>
        <v/>
      </c>
      <c r="P15" s="31" t="n"/>
      <c r="Q15" s="32" t="n"/>
      <c r="R15" s="4" t="n"/>
      <c r="S15" s="13" t="n"/>
      <c r="T15" s="33">
        <f>IFERROR(S15/N15,"")</f>
        <v/>
      </c>
      <c r="U15" s="4" t="n"/>
      <c r="V15" s="4" t="n"/>
      <c r="W15" s="4" t="n"/>
    </row>
    <row r="16">
      <c r="A16" s="30" t="n"/>
      <c r="B16" s="4" t="n"/>
      <c r="C16" s="4" t="n"/>
      <c r="D16" s="4" t="n"/>
      <c r="E16" s="4" t="n"/>
      <c r="F16" s="4" t="n"/>
      <c r="G16" s="31" t="n"/>
      <c r="H16" s="32" t="n"/>
      <c r="I16" s="32" t="n"/>
      <c r="J16" s="32" t="n"/>
      <c r="K16" s="20">
        <f>IF(AND(H16&lt;&gt;"",I16&lt;&gt;""),ABS(H16-I16),"")</f>
        <v/>
      </c>
      <c r="L16" s="33">
        <f>IFERROR(ABS(J16-H16)/K16,"")</f>
        <v/>
      </c>
      <c r="M16" s="4" t="n"/>
      <c r="N16" s="19">
        <f>IF(AND(K16&lt;&gt;"",M16&lt;&gt;""),K16*M16,"")</f>
        <v/>
      </c>
      <c r="O16" s="24">
        <f>IFERROR(N16/$B$3,"")</f>
        <v/>
      </c>
      <c r="P16" s="31" t="n"/>
      <c r="Q16" s="32" t="n"/>
      <c r="R16" s="4" t="n"/>
      <c r="S16" s="13" t="n"/>
      <c r="T16" s="33">
        <f>IFERROR(S16/N16,"")</f>
        <v/>
      </c>
      <c r="U16" s="4" t="n"/>
      <c r="V16" s="4" t="n"/>
      <c r="W16" s="4" t="n"/>
    </row>
    <row r="17">
      <c r="A17" s="30" t="n"/>
      <c r="B17" s="4" t="n"/>
      <c r="C17" s="4" t="n"/>
      <c r="D17" s="4" t="n"/>
      <c r="E17" s="4" t="n"/>
      <c r="F17" s="4" t="n"/>
      <c r="G17" s="31" t="n"/>
      <c r="H17" s="32" t="n"/>
      <c r="I17" s="32" t="n"/>
      <c r="J17" s="32" t="n"/>
      <c r="K17" s="20">
        <f>IF(AND(H17&lt;&gt;"",I17&lt;&gt;""),ABS(H17-I17),"")</f>
        <v/>
      </c>
      <c r="L17" s="33">
        <f>IFERROR(ABS(J17-H17)/K17,"")</f>
        <v/>
      </c>
      <c r="M17" s="4" t="n"/>
      <c r="N17" s="19">
        <f>IF(AND(K17&lt;&gt;"",M17&lt;&gt;""),K17*M17,"")</f>
        <v/>
      </c>
      <c r="O17" s="24">
        <f>IFERROR(N17/$B$3,"")</f>
        <v/>
      </c>
      <c r="P17" s="31" t="n"/>
      <c r="Q17" s="32" t="n"/>
      <c r="R17" s="4" t="n"/>
      <c r="S17" s="13" t="n"/>
      <c r="T17" s="33">
        <f>IFERROR(S17/N17,"")</f>
        <v/>
      </c>
      <c r="U17" s="4" t="n"/>
      <c r="V17" s="4" t="n"/>
      <c r="W17" s="4" t="n"/>
    </row>
    <row r="18">
      <c r="A18" s="30" t="n"/>
      <c r="B18" s="4" t="n"/>
      <c r="C18" s="4" t="n"/>
      <c r="D18" s="4" t="n"/>
      <c r="E18" s="4" t="n"/>
      <c r="F18" s="4" t="n"/>
      <c r="G18" s="31" t="n"/>
      <c r="H18" s="32" t="n"/>
      <c r="I18" s="32" t="n"/>
      <c r="J18" s="32" t="n"/>
      <c r="K18" s="20">
        <f>IF(AND(H18&lt;&gt;"",I18&lt;&gt;""),ABS(H18-I18),"")</f>
        <v/>
      </c>
      <c r="L18" s="33">
        <f>IFERROR(ABS(J18-H18)/K18,"")</f>
        <v/>
      </c>
      <c r="M18" s="4" t="n"/>
      <c r="N18" s="19">
        <f>IF(AND(K18&lt;&gt;"",M18&lt;&gt;""),K18*M18,"")</f>
        <v/>
      </c>
      <c r="O18" s="24">
        <f>IFERROR(N18/$B$3,"")</f>
        <v/>
      </c>
      <c r="P18" s="31" t="n"/>
      <c r="Q18" s="32" t="n"/>
      <c r="R18" s="4" t="n"/>
      <c r="S18" s="13" t="n"/>
      <c r="T18" s="33">
        <f>IFERROR(S18/N18,"")</f>
        <v/>
      </c>
      <c r="U18" s="4" t="n"/>
      <c r="V18" s="4" t="n"/>
      <c r="W18" s="4" t="n"/>
    </row>
    <row r="19">
      <c r="A19" s="30" t="n"/>
      <c r="B19" s="4" t="n"/>
      <c r="C19" s="4" t="n"/>
      <c r="D19" s="4" t="n"/>
      <c r="E19" s="4" t="n"/>
      <c r="F19" s="4" t="n"/>
      <c r="G19" s="31" t="n"/>
      <c r="H19" s="32" t="n"/>
      <c r="I19" s="32" t="n"/>
      <c r="J19" s="32" t="n"/>
      <c r="K19" s="20">
        <f>IF(AND(H19&lt;&gt;"",I19&lt;&gt;""),ABS(H19-I19),"")</f>
        <v/>
      </c>
      <c r="L19" s="33">
        <f>IFERROR(ABS(J19-H19)/K19,"")</f>
        <v/>
      </c>
      <c r="M19" s="4" t="n"/>
      <c r="N19" s="19">
        <f>IF(AND(K19&lt;&gt;"",M19&lt;&gt;""),K19*M19,"")</f>
        <v/>
      </c>
      <c r="O19" s="24">
        <f>IFERROR(N19/$B$3,"")</f>
        <v/>
      </c>
      <c r="P19" s="31" t="n"/>
      <c r="Q19" s="32" t="n"/>
      <c r="R19" s="4" t="n"/>
      <c r="S19" s="13" t="n"/>
      <c r="T19" s="33">
        <f>IFERROR(S19/N19,"")</f>
        <v/>
      </c>
      <c r="U19" s="4" t="n"/>
      <c r="V19" s="4" t="n"/>
      <c r="W19" s="4" t="n"/>
    </row>
    <row r="20">
      <c r="A20" s="30" t="n"/>
      <c r="B20" s="4" t="n"/>
      <c r="C20" s="4" t="n"/>
      <c r="D20" s="4" t="n"/>
      <c r="E20" s="4" t="n"/>
      <c r="F20" s="4" t="n"/>
      <c r="G20" s="31" t="n"/>
      <c r="H20" s="32" t="n"/>
      <c r="I20" s="32" t="n"/>
      <c r="J20" s="32" t="n"/>
      <c r="K20" s="20">
        <f>IF(AND(H20&lt;&gt;"",I20&lt;&gt;""),ABS(H20-I20),"")</f>
        <v/>
      </c>
      <c r="L20" s="33">
        <f>IFERROR(ABS(J20-H20)/K20,"")</f>
        <v/>
      </c>
      <c r="M20" s="4" t="n"/>
      <c r="N20" s="19">
        <f>IF(AND(K20&lt;&gt;"",M20&lt;&gt;""),K20*M20,"")</f>
        <v/>
      </c>
      <c r="O20" s="24">
        <f>IFERROR(N20/$B$3,"")</f>
        <v/>
      </c>
      <c r="P20" s="31" t="n"/>
      <c r="Q20" s="32" t="n"/>
      <c r="R20" s="4" t="n"/>
      <c r="S20" s="13" t="n"/>
      <c r="T20" s="33">
        <f>IFERROR(S20/N20,"")</f>
        <v/>
      </c>
      <c r="U20" s="4" t="n"/>
      <c r="V20" s="4" t="n"/>
      <c r="W20" s="4" t="n"/>
    </row>
    <row r="21">
      <c r="A21" s="30" t="n"/>
      <c r="B21" s="4" t="n"/>
      <c r="C21" s="4" t="n"/>
      <c r="D21" s="4" t="n"/>
      <c r="E21" s="4" t="n"/>
      <c r="F21" s="4" t="n"/>
      <c r="G21" s="31" t="n"/>
      <c r="H21" s="32" t="n"/>
      <c r="I21" s="32" t="n"/>
      <c r="J21" s="32" t="n"/>
      <c r="K21" s="20">
        <f>IF(AND(H21&lt;&gt;"",I21&lt;&gt;""),ABS(H21-I21),"")</f>
        <v/>
      </c>
      <c r="L21" s="33">
        <f>IFERROR(ABS(J21-H21)/K21,"")</f>
        <v/>
      </c>
      <c r="M21" s="4" t="n"/>
      <c r="N21" s="19">
        <f>IF(AND(K21&lt;&gt;"",M21&lt;&gt;""),K21*M21,"")</f>
        <v/>
      </c>
      <c r="O21" s="24">
        <f>IFERROR(N21/$B$3,"")</f>
        <v/>
      </c>
      <c r="P21" s="31" t="n"/>
      <c r="Q21" s="32" t="n"/>
      <c r="R21" s="4" t="n"/>
      <c r="S21" s="13" t="n"/>
      <c r="T21" s="33">
        <f>IFERROR(S21/N21,"")</f>
        <v/>
      </c>
      <c r="U21" s="4" t="n"/>
      <c r="V21" s="4" t="n"/>
      <c r="W21" s="4" t="n"/>
    </row>
    <row r="22">
      <c r="A22" s="30" t="n"/>
      <c r="B22" s="4" t="n"/>
      <c r="C22" s="4" t="n"/>
      <c r="D22" s="4" t="n"/>
      <c r="E22" s="4" t="n"/>
      <c r="F22" s="4" t="n"/>
      <c r="G22" s="31" t="n"/>
      <c r="H22" s="32" t="n"/>
      <c r="I22" s="32" t="n"/>
      <c r="J22" s="32" t="n"/>
      <c r="K22" s="20">
        <f>IF(AND(H22&lt;&gt;"",I22&lt;&gt;""),ABS(H22-I22),"")</f>
        <v/>
      </c>
      <c r="L22" s="33">
        <f>IFERROR(ABS(J22-H22)/K22,"")</f>
        <v/>
      </c>
      <c r="M22" s="4" t="n"/>
      <c r="N22" s="19">
        <f>IF(AND(K22&lt;&gt;"",M22&lt;&gt;""),K22*M22,"")</f>
        <v/>
      </c>
      <c r="O22" s="24">
        <f>IFERROR(N22/$B$3,"")</f>
        <v/>
      </c>
      <c r="P22" s="31" t="n"/>
      <c r="Q22" s="32" t="n"/>
      <c r="R22" s="4" t="n"/>
      <c r="S22" s="13" t="n"/>
      <c r="T22" s="33">
        <f>IFERROR(S22/N22,"")</f>
        <v/>
      </c>
      <c r="U22" s="4" t="n"/>
      <c r="V22" s="4" t="n"/>
      <c r="W22" s="4" t="n"/>
    </row>
    <row r="23">
      <c r="A23" s="30" t="n"/>
      <c r="B23" s="4" t="n"/>
      <c r="C23" s="4" t="n"/>
      <c r="D23" s="4" t="n"/>
      <c r="E23" s="4" t="n"/>
      <c r="F23" s="4" t="n"/>
      <c r="G23" s="31" t="n"/>
      <c r="H23" s="32" t="n"/>
      <c r="I23" s="32" t="n"/>
      <c r="J23" s="32" t="n"/>
      <c r="K23" s="20">
        <f>IF(AND(H23&lt;&gt;"",I23&lt;&gt;""),ABS(H23-I23),"")</f>
        <v/>
      </c>
      <c r="L23" s="33">
        <f>IFERROR(ABS(J23-H23)/K23,"")</f>
        <v/>
      </c>
      <c r="M23" s="4" t="n"/>
      <c r="N23" s="19">
        <f>IF(AND(K23&lt;&gt;"",M23&lt;&gt;""),K23*M23,"")</f>
        <v/>
      </c>
      <c r="O23" s="24">
        <f>IFERROR(N23/$B$3,"")</f>
        <v/>
      </c>
      <c r="P23" s="31" t="n"/>
      <c r="Q23" s="32" t="n"/>
      <c r="R23" s="4" t="n"/>
      <c r="S23" s="13" t="n"/>
      <c r="T23" s="33">
        <f>IFERROR(S23/N23,"")</f>
        <v/>
      </c>
      <c r="U23" s="4" t="n"/>
      <c r="V23" s="4" t="n"/>
      <c r="W23" s="4" t="n"/>
    </row>
    <row r="24">
      <c r="A24" s="30" t="n"/>
      <c r="B24" s="4" t="n"/>
      <c r="C24" s="4" t="n"/>
      <c r="D24" s="4" t="n"/>
      <c r="E24" s="4" t="n"/>
      <c r="F24" s="4" t="n"/>
      <c r="G24" s="31" t="n"/>
      <c r="H24" s="32" t="n"/>
      <c r="I24" s="32" t="n"/>
      <c r="J24" s="32" t="n"/>
      <c r="K24" s="20">
        <f>IF(AND(H24&lt;&gt;"",I24&lt;&gt;""),ABS(H24-I24),"")</f>
        <v/>
      </c>
      <c r="L24" s="33">
        <f>IFERROR(ABS(J24-H24)/K24,"")</f>
        <v/>
      </c>
      <c r="M24" s="4" t="n"/>
      <c r="N24" s="19">
        <f>IF(AND(K24&lt;&gt;"",M24&lt;&gt;""),K24*M24,"")</f>
        <v/>
      </c>
      <c r="O24" s="24">
        <f>IFERROR(N24/$B$3,"")</f>
        <v/>
      </c>
      <c r="P24" s="31" t="n"/>
      <c r="Q24" s="32" t="n"/>
      <c r="R24" s="4" t="n"/>
      <c r="S24" s="13" t="n"/>
      <c r="T24" s="33">
        <f>IFERROR(S24/N24,"")</f>
        <v/>
      </c>
      <c r="U24" s="4" t="n"/>
      <c r="V24" s="4" t="n"/>
      <c r="W24" s="4" t="n"/>
    </row>
    <row r="25">
      <c r="A25" s="30" t="n"/>
      <c r="B25" s="4" t="n"/>
      <c r="C25" s="4" t="n"/>
      <c r="D25" s="4" t="n"/>
      <c r="E25" s="4" t="n"/>
      <c r="F25" s="4" t="n"/>
      <c r="G25" s="31" t="n"/>
      <c r="H25" s="32" t="n"/>
      <c r="I25" s="32" t="n"/>
      <c r="J25" s="32" t="n"/>
      <c r="K25" s="20">
        <f>IF(AND(H25&lt;&gt;"",I25&lt;&gt;""),ABS(H25-I25),"")</f>
        <v/>
      </c>
      <c r="L25" s="33">
        <f>IFERROR(ABS(J25-H25)/K25,"")</f>
        <v/>
      </c>
      <c r="M25" s="4" t="n"/>
      <c r="N25" s="19">
        <f>IF(AND(K25&lt;&gt;"",M25&lt;&gt;""),K25*M25,"")</f>
        <v/>
      </c>
      <c r="O25" s="24">
        <f>IFERROR(N25/$B$3,"")</f>
        <v/>
      </c>
      <c r="P25" s="31" t="n"/>
      <c r="Q25" s="32" t="n"/>
      <c r="R25" s="4" t="n"/>
      <c r="S25" s="13" t="n"/>
      <c r="T25" s="33">
        <f>IFERROR(S25/N25,"")</f>
        <v/>
      </c>
      <c r="U25" s="4" t="n"/>
      <c r="V25" s="4" t="n"/>
      <c r="W25" s="4" t="n"/>
    </row>
    <row r="26">
      <c r="A26" s="30" t="n"/>
      <c r="B26" s="4" t="n"/>
      <c r="C26" s="4" t="n"/>
      <c r="D26" s="4" t="n"/>
      <c r="E26" s="4" t="n"/>
      <c r="F26" s="4" t="n"/>
      <c r="G26" s="31" t="n"/>
      <c r="H26" s="32" t="n"/>
      <c r="I26" s="32" t="n"/>
      <c r="J26" s="32" t="n"/>
      <c r="K26" s="20">
        <f>IF(AND(H26&lt;&gt;"",I26&lt;&gt;""),ABS(H26-I26),"")</f>
        <v/>
      </c>
      <c r="L26" s="33">
        <f>IFERROR(ABS(J26-H26)/K26,"")</f>
        <v/>
      </c>
      <c r="M26" s="4" t="n"/>
      <c r="N26" s="19">
        <f>IF(AND(K26&lt;&gt;"",M26&lt;&gt;""),K26*M26,"")</f>
        <v/>
      </c>
      <c r="O26" s="24">
        <f>IFERROR(N26/$B$3,"")</f>
        <v/>
      </c>
      <c r="P26" s="31" t="n"/>
      <c r="Q26" s="32" t="n"/>
      <c r="R26" s="4" t="n"/>
      <c r="S26" s="13" t="n"/>
      <c r="T26" s="33">
        <f>IFERROR(S26/N26,"")</f>
        <v/>
      </c>
      <c r="U26" s="4" t="n"/>
      <c r="V26" s="4" t="n"/>
      <c r="W26" s="4" t="n"/>
    </row>
    <row r="27">
      <c r="A27" s="30" t="n"/>
      <c r="B27" s="4" t="n"/>
      <c r="C27" s="4" t="n"/>
      <c r="D27" s="4" t="n"/>
      <c r="E27" s="4" t="n"/>
      <c r="F27" s="4" t="n"/>
      <c r="G27" s="31" t="n"/>
      <c r="H27" s="32" t="n"/>
      <c r="I27" s="32" t="n"/>
      <c r="J27" s="32" t="n"/>
      <c r="K27" s="20">
        <f>IF(AND(H27&lt;&gt;"",I27&lt;&gt;""),ABS(H27-I27),"")</f>
        <v/>
      </c>
      <c r="L27" s="33">
        <f>IFERROR(ABS(J27-H27)/K27,"")</f>
        <v/>
      </c>
      <c r="M27" s="4" t="n"/>
      <c r="N27" s="19">
        <f>IF(AND(K27&lt;&gt;"",M27&lt;&gt;""),K27*M27,"")</f>
        <v/>
      </c>
      <c r="O27" s="24">
        <f>IFERROR(N27/$B$3,"")</f>
        <v/>
      </c>
      <c r="P27" s="31" t="n"/>
      <c r="Q27" s="32" t="n"/>
      <c r="R27" s="4" t="n"/>
      <c r="S27" s="13" t="n"/>
      <c r="T27" s="33">
        <f>IFERROR(S27/N27,"")</f>
        <v/>
      </c>
      <c r="U27" s="4" t="n"/>
      <c r="V27" s="4" t="n"/>
      <c r="W27" s="4" t="n"/>
    </row>
    <row r="28">
      <c r="A28" s="30" t="n"/>
      <c r="B28" s="4" t="n"/>
      <c r="C28" s="4" t="n"/>
      <c r="D28" s="4" t="n"/>
      <c r="E28" s="4" t="n"/>
      <c r="F28" s="4" t="n"/>
      <c r="G28" s="31" t="n"/>
      <c r="H28" s="32" t="n"/>
      <c r="I28" s="32" t="n"/>
      <c r="J28" s="32" t="n"/>
      <c r="K28" s="20">
        <f>IF(AND(H28&lt;&gt;"",I28&lt;&gt;""),ABS(H28-I28),"")</f>
        <v/>
      </c>
      <c r="L28" s="33">
        <f>IFERROR(ABS(J28-H28)/K28,"")</f>
        <v/>
      </c>
      <c r="M28" s="4" t="n"/>
      <c r="N28" s="19">
        <f>IF(AND(K28&lt;&gt;"",M28&lt;&gt;""),K28*M28,"")</f>
        <v/>
      </c>
      <c r="O28" s="24">
        <f>IFERROR(N28/$B$3,"")</f>
        <v/>
      </c>
      <c r="P28" s="31" t="n"/>
      <c r="Q28" s="32" t="n"/>
      <c r="R28" s="4" t="n"/>
      <c r="S28" s="13" t="n"/>
      <c r="T28" s="33">
        <f>IFERROR(S28/N28,"")</f>
        <v/>
      </c>
      <c r="U28" s="4" t="n"/>
      <c r="V28" s="4" t="n"/>
      <c r="W28" s="4" t="n"/>
    </row>
    <row r="29">
      <c r="A29" s="30" t="n"/>
      <c r="B29" s="4" t="n"/>
      <c r="C29" s="4" t="n"/>
      <c r="D29" s="4" t="n"/>
      <c r="E29" s="4" t="n"/>
      <c r="F29" s="4" t="n"/>
      <c r="G29" s="31" t="n"/>
      <c r="H29" s="32" t="n"/>
      <c r="I29" s="32" t="n"/>
      <c r="J29" s="32" t="n"/>
      <c r="K29" s="20">
        <f>IF(AND(H29&lt;&gt;"",I29&lt;&gt;""),ABS(H29-I29),"")</f>
        <v/>
      </c>
      <c r="L29" s="33">
        <f>IFERROR(ABS(J29-H29)/K29,"")</f>
        <v/>
      </c>
      <c r="M29" s="4" t="n"/>
      <c r="N29" s="19">
        <f>IF(AND(K29&lt;&gt;"",M29&lt;&gt;""),K29*M29,"")</f>
        <v/>
      </c>
      <c r="O29" s="24">
        <f>IFERROR(N29/$B$3,"")</f>
        <v/>
      </c>
      <c r="P29" s="31" t="n"/>
      <c r="Q29" s="32" t="n"/>
      <c r="R29" s="4" t="n"/>
      <c r="S29" s="13" t="n"/>
      <c r="T29" s="33">
        <f>IFERROR(S29/N29,"")</f>
        <v/>
      </c>
      <c r="U29" s="4" t="n"/>
      <c r="V29" s="4" t="n"/>
      <c r="W29" s="4" t="n"/>
    </row>
    <row r="30">
      <c r="A30" s="30" t="n"/>
      <c r="B30" s="4" t="n"/>
      <c r="C30" s="4" t="n"/>
      <c r="D30" s="4" t="n"/>
      <c r="E30" s="4" t="n"/>
      <c r="F30" s="4" t="n"/>
      <c r="G30" s="31" t="n"/>
      <c r="H30" s="32" t="n"/>
      <c r="I30" s="32" t="n"/>
      <c r="J30" s="32" t="n"/>
      <c r="K30" s="20">
        <f>IF(AND(H30&lt;&gt;"",I30&lt;&gt;""),ABS(H30-I30),"")</f>
        <v/>
      </c>
      <c r="L30" s="33">
        <f>IFERROR(ABS(J30-H30)/K30,"")</f>
        <v/>
      </c>
      <c r="M30" s="4" t="n"/>
      <c r="N30" s="19">
        <f>IF(AND(K30&lt;&gt;"",M30&lt;&gt;""),K30*M30,"")</f>
        <v/>
      </c>
      <c r="O30" s="24">
        <f>IFERROR(N30/$B$3,"")</f>
        <v/>
      </c>
      <c r="P30" s="31" t="n"/>
      <c r="Q30" s="32" t="n"/>
      <c r="R30" s="4" t="n"/>
      <c r="S30" s="13" t="n"/>
      <c r="T30" s="33">
        <f>IFERROR(S30/N30,"")</f>
        <v/>
      </c>
      <c r="U30" s="4" t="n"/>
      <c r="V30" s="4" t="n"/>
      <c r="W30" s="4" t="n"/>
    </row>
    <row r="31">
      <c r="A31" s="30" t="n"/>
      <c r="B31" s="4" t="n"/>
      <c r="C31" s="4" t="n"/>
      <c r="D31" s="4" t="n"/>
      <c r="E31" s="4" t="n"/>
      <c r="F31" s="4" t="n"/>
      <c r="G31" s="31" t="n"/>
      <c r="H31" s="32" t="n"/>
      <c r="I31" s="32" t="n"/>
      <c r="J31" s="32" t="n"/>
      <c r="K31" s="20">
        <f>IF(AND(H31&lt;&gt;"",I31&lt;&gt;""),ABS(H31-I31),"")</f>
        <v/>
      </c>
      <c r="L31" s="33">
        <f>IFERROR(ABS(J31-H31)/K31,"")</f>
        <v/>
      </c>
      <c r="M31" s="4" t="n"/>
      <c r="N31" s="19">
        <f>IF(AND(K31&lt;&gt;"",M31&lt;&gt;""),K31*M31,"")</f>
        <v/>
      </c>
      <c r="O31" s="24">
        <f>IFERROR(N31/$B$3,"")</f>
        <v/>
      </c>
      <c r="P31" s="31" t="n"/>
      <c r="Q31" s="32" t="n"/>
      <c r="R31" s="4" t="n"/>
      <c r="S31" s="13" t="n"/>
      <c r="T31" s="33">
        <f>IFERROR(S31/N31,"")</f>
        <v/>
      </c>
      <c r="U31" s="4" t="n"/>
      <c r="V31" s="4" t="n"/>
      <c r="W31" s="4" t="n"/>
    </row>
    <row r="32">
      <c r="A32" s="30" t="n"/>
      <c r="B32" s="4" t="n"/>
      <c r="C32" s="4" t="n"/>
      <c r="D32" s="4" t="n"/>
      <c r="E32" s="4" t="n"/>
      <c r="F32" s="4" t="n"/>
      <c r="G32" s="31" t="n"/>
      <c r="H32" s="32" t="n"/>
      <c r="I32" s="32" t="n"/>
      <c r="J32" s="32" t="n"/>
      <c r="K32" s="20">
        <f>IF(AND(H32&lt;&gt;"",I32&lt;&gt;""),ABS(H32-I32),"")</f>
        <v/>
      </c>
      <c r="L32" s="33">
        <f>IFERROR(ABS(J32-H32)/K32,"")</f>
        <v/>
      </c>
      <c r="M32" s="4" t="n"/>
      <c r="N32" s="19">
        <f>IF(AND(K32&lt;&gt;"",M32&lt;&gt;""),K32*M32,"")</f>
        <v/>
      </c>
      <c r="O32" s="24">
        <f>IFERROR(N32/$B$3,"")</f>
        <v/>
      </c>
      <c r="P32" s="31" t="n"/>
      <c r="Q32" s="32" t="n"/>
      <c r="R32" s="4" t="n"/>
      <c r="S32" s="13" t="n"/>
      <c r="T32" s="33">
        <f>IFERROR(S32/N32,"")</f>
        <v/>
      </c>
      <c r="U32" s="4" t="n"/>
      <c r="V32" s="4" t="n"/>
      <c r="W32" s="4" t="n"/>
    </row>
    <row r="33">
      <c r="A33" s="30" t="n"/>
      <c r="B33" s="4" t="n"/>
      <c r="C33" s="4" t="n"/>
      <c r="D33" s="4" t="n"/>
      <c r="E33" s="4" t="n"/>
      <c r="F33" s="4" t="n"/>
      <c r="G33" s="31" t="n"/>
      <c r="H33" s="32" t="n"/>
      <c r="I33" s="32" t="n"/>
      <c r="J33" s="32" t="n"/>
      <c r="K33" s="20">
        <f>IF(AND(H33&lt;&gt;"",I33&lt;&gt;""),ABS(H33-I33),"")</f>
        <v/>
      </c>
      <c r="L33" s="33">
        <f>IFERROR(ABS(J33-H33)/K33,"")</f>
        <v/>
      </c>
      <c r="M33" s="4" t="n"/>
      <c r="N33" s="19">
        <f>IF(AND(K33&lt;&gt;"",M33&lt;&gt;""),K33*M33,"")</f>
        <v/>
      </c>
      <c r="O33" s="24">
        <f>IFERROR(N33/$B$3,"")</f>
        <v/>
      </c>
      <c r="P33" s="31" t="n"/>
      <c r="Q33" s="32" t="n"/>
      <c r="R33" s="4" t="n"/>
      <c r="S33" s="13" t="n"/>
      <c r="T33" s="33">
        <f>IFERROR(S33/N33,"")</f>
        <v/>
      </c>
      <c r="U33" s="4" t="n"/>
      <c r="V33" s="4" t="n"/>
      <c r="W33" s="4" t="n"/>
    </row>
    <row r="34">
      <c r="A34" s="30" t="n"/>
      <c r="B34" s="4" t="n"/>
      <c r="C34" s="4" t="n"/>
      <c r="D34" s="4" t="n"/>
      <c r="E34" s="4" t="n"/>
      <c r="F34" s="4" t="n"/>
      <c r="G34" s="31" t="n"/>
      <c r="H34" s="32" t="n"/>
      <c r="I34" s="32" t="n"/>
      <c r="J34" s="32" t="n"/>
      <c r="K34" s="20">
        <f>IF(AND(H34&lt;&gt;"",I34&lt;&gt;""),ABS(H34-I34),"")</f>
        <v/>
      </c>
      <c r="L34" s="33">
        <f>IFERROR(ABS(J34-H34)/K34,"")</f>
        <v/>
      </c>
      <c r="M34" s="4" t="n"/>
      <c r="N34" s="19">
        <f>IF(AND(K34&lt;&gt;"",M34&lt;&gt;""),K34*M34,"")</f>
        <v/>
      </c>
      <c r="O34" s="24">
        <f>IFERROR(N34/$B$3,"")</f>
        <v/>
      </c>
      <c r="P34" s="31" t="n"/>
      <c r="Q34" s="32" t="n"/>
      <c r="R34" s="4" t="n"/>
      <c r="S34" s="13" t="n"/>
      <c r="T34" s="33">
        <f>IFERROR(S34/N34,"")</f>
        <v/>
      </c>
      <c r="U34" s="4" t="n"/>
      <c r="V34" s="4" t="n"/>
      <c r="W34" s="4" t="n"/>
    </row>
    <row r="35">
      <c r="A35" s="30" t="n"/>
      <c r="B35" s="4" t="n"/>
      <c r="C35" s="4" t="n"/>
      <c r="D35" s="4" t="n"/>
      <c r="E35" s="4" t="n"/>
      <c r="F35" s="4" t="n"/>
      <c r="G35" s="31" t="n"/>
      <c r="H35" s="32" t="n"/>
      <c r="I35" s="32" t="n"/>
      <c r="J35" s="32" t="n"/>
      <c r="K35" s="20">
        <f>IF(AND(H35&lt;&gt;"",I35&lt;&gt;""),ABS(H35-I35),"")</f>
        <v/>
      </c>
      <c r="L35" s="33">
        <f>IFERROR(ABS(J35-H35)/K35,"")</f>
        <v/>
      </c>
      <c r="M35" s="4" t="n"/>
      <c r="N35" s="19">
        <f>IF(AND(K35&lt;&gt;"",M35&lt;&gt;""),K35*M35,"")</f>
        <v/>
      </c>
      <c r="O35" s="24">
        <f>IFERROR(N35/$B$3,"")</f>
        <v/>
      </c>
      <c r="P35" s="31" t="n"/>
      <c r="Q35" s="32" t="n"/>
      <c r="R35" s="4" t="n"/>
      <c r="S35" s="13" t="n"/>
      <c r="T35" s="33">
        <f>IFERROR(S35/N35,"")</f>
        <v/>
      </c>
      <c r="U35" s="4" t="n"/>
      <c r="V35" s="4" t="n"/>
      <c r="W35" s="4" t="n"/>
    </row>
    <row r="36">
      <c r="A36" s="30" t="n"/>
      <c r="B36" s="4" t="n"/>
      <c r="C36" s="4" t="n"/>
      <c r="D36" s="4" t="n"/>
      <c r="E36" s="4" t="n"/>
      <c r="F36" s="4" t="n"/>
      <c r="G36" s="31" t="n"/>
      <c r="H36" s="32" t="n"/>
      <c r="I36" s="32" t="n"/>
      <c r="J36" s="32" t="n"/>
      <c r="K36" s="20">
        <f>IF(AND(H36&lt;&gt;"",I36&lt;&gt;""),ABS(H36-I36),"")</f>
        <v/>
      </c>
      <c r="L36" s="33">
        <f>IFERROR(ABS(J36-H36)/K36,"")</f>
        <v/>
      </c>
      <c r="M36" s="4" t="n"/>
      <c r="N36" s="19">
        <f>IF(AND(K36&lt;&gt;"",M36&lt;&gt;""),K36*M36,"")</f>
        <v/>
      </c>
      <c r="O36" s="24">
        <f>IFERROR(N36/$B$3,"")</f>
        <v/>
      </c>
      <c r="P36" s="31" t="n"/>
      <c r="Q36" s="32" t="n"/>
      <c r="R36" s="4" t="n"/>
      <c r="S36" s="13" t="n"/>
      <c r="T36" s="33">
        <f>IFERROR(S36/N36,"")</f>
        <v/>
      </c>
      <c r="U36" s="4" t="n"/>
      <c r="V36" s="4" t="n"/>
      <c r="W36" s="4" t="n"/>
    </row>
    <row r="37">
      <c r="A37" s="30" t="n"/>
      <c r="B37" s="4" t="n"/>
      <c r="C37" s="4" t="n"/>
      <c r="D37" s="4" t="n"/>
      <c r="E37" s="4" t="n"/>
      <c r="F37" s="4" t="n"/>
      <c r="G37" s="31" t="n"/>
      <c r="H37" s="32" t="n"/>
      <c r="I37" s="32" t="n"/>
      <c r="J37" s="32" t="n"/>
      <c r="K37" s="20">
        <f>IF(AND(H37&lt;&gt;"",I37&lt;&gt;""),ABS(H37-I37),"")</f>
        <v/>
      </c>
      <c r="L37" s="33">
        <f>IFERROR(ABS(J37-H37)/K37,"")</f>
        <v/>
      </c>
      <c r="M37" s="4" t="n"/>
      <c r="N37" s="19">
        <f>IF(AND(K37&lt;&gt;"",M37&lt;&gt;""),K37*M37,"")</f>
        <v/>
      </c>
      <c r="O37" s="24">
        <f>IFERROR(N37/$B$3,"")</f>
        <v/>
      </c>
      <c r="P37" s="31" t="n"/>
      <c r="Q37" s="32" t="n"/>
      <c r="R37" s="4" t="n"/>
      <c r="S37" s="13" t="n"/>
      <c r="T37" s="33">
        <f>IFERROR(S37/N37,"")</f>
        <v/>
      </c>
      <c r="U37" s="4" t="n"/>
      <c r="V37" s="4" t="n"/>
      <c r="W37" s="4" t="n"/>
    </row>
    <row r="38">
      <c r="A38" s="30" t="n"/>
      <c r="B38" s="4" t="n"/>
      <c r="C38" s="4" t="n"/>
      <c r="D38" s="4" t="n"/>
      <c r="E38" s="4" t="n"/>
      <c r="F38" s="4" t="n"/>
      <c r="G38" s="31" t="n"/>
      <c r="H38" s="32" t="n"/>
      <c r="I38" s="32" t="n"/>
      <c r="J38" s="32" t="n"/>
      <c r="K38" s="20">
        <f>IF(AND(H38&lt;&gt;"",I38&lt;&gt;""),ABS(H38-I38),"")</f>
        <v/>
      </c>
      <c r="L38" s="33">
        <f>IFERROR(ABS(J38-H38)/K38,"")</f>
        <v/>
      </c>
      <c r="M38" s="4" t="n"/>
      <c r="N38" s="19">
        <f>IF(AND(K38&lt;&gt;"",M38&lt;&gt;""),K38*M38,"")</f>
        <v/>
      </c>
      <c r="O38" s="24">
        <f>IFERROR(N38/$B$3,"")</f>
        <v/>
      </c>
      <c r="P38" s="31" t="n"/>
      <c r="Q38" s="32" t="n"/>
      <c r="R38" s="4" t="n"/>
      <c r="S38" s="13" t="n"/>
      <c r="T38" s="33">
        <f>IFERROR(S38/N38,"")</f>
        <v/>
      </c>
      <c r="U38" s="4" t="n"/>
      <c r="V38" s="4" t="n"/>
      <c r="W38" s="4" t="n"/>
    </row>
    <row r="39">
      <c r="A39" s="30" t="n"/>
      <c r="B39" s="4" t="n"/>
      <c r="C39" s="4" t="n"/>
      <c r="D39" s="4" t="n"/>
      <c r="E39" s="4" t="n"/>
      <c r="F39" s="4" t="n"/>
      <c r="G39" s="31" t="n"/>
      <c r="H39" s="32" t="n"/>
      <c r="I39" s="32" t="n"/>
      <c r="J39" s="32" t="n"/>
      <c r="K39" s="20">
        <f>IF(AND(H39&lt;&gt;"",I39&lt;&gt;""),ABS(H39-I39),"")</f>
        <v/>
      </c>
      <c r="L39" s="33">
        <f>IFERROR(ABS(J39-H39)/K39,"")</f>
        <v/>
      </c>
      <c r="M39" s="4" t="n"/>
      <c r="N39" s="19">
        <f>IF(AND(K39&lt;&gt;"",M39&lt;&gt;""),K39*M39,"")</f>
        <v/>
      </c>
      <c r="O39" s="24">
        <f>IFERROR(N39/$B$3,"")</f>
        <v/>
      </c>
      <c r="P39" s="31" t="n"/>
      <c r="Q39" s="32" t="n"/>
      <c r="R39" s="4" t="n"/>
      <c r="S39" s="13" t="n"/>
      <c r="T39" s="33">
        <f>IFERROR(S39/N39,"")</f>
        <v/>
      </c>
      <c r="U39" s="4" t="n"/>
      <c r="V39" s="4" t="n"/>
      <c r="W39" s="4" t="n"/>
    </row>
    <row r="40">
      <c r="A40" s="30" t="n"/>
      <c r="B40" s="4" t="n"/>
      <c r="C40" s="4" t="n"/>
      <c r="D40" s="4" t="n"/>
      <c r="E40" s="4" t="n"/>
      <c r="F40" s="4" t="n"/>
      <c r="G40" s="31" t="n"/>
      <c r="H40" s="32" t="n"/>
      <c r="I40" s="32" t="n"/>
      <c r="J40" s="32" t="n"/>
      <c r="K40" s="20">
        <f>IF(AND(H40&lt;&gt;"",I40&lt;&gt;""),ABS(H40-I40),"")</f>
        <v/>
      </c>
      <c r="L40" s="33">
        <f>IFERROR(ABS(J40-H40)/K40,"")</f>
        <v/>
      </c>
      <c r="M40" s="4" t="n"/>
      <c r="N40" s="19">
        <f>IF(AND(K40&lt;&gt;"",M40&lt;&gt;""),K40*M40,"")</f>
        <v/>
      </c>
      <c r="O40" s="24">
        <f>IFERROR(N40/$B$3,"")</f>
        <v/>
      </c>
      <c r="P40" s="31" t="n"/>
      <c r="Q40" s="32" t="n"/>
      <c r="R40" s="4" t="n"/>
      <c r="S40" s="13" t="n"/>
      <c r="T40" s="33">
        <f>IFERROR(S40/N40,"")</f>
        <v/>
      </c>
      <c r="U40" s="4" t="n"/>
      <c r="V40" s="4" t="n"/>
      <c r="W40" s="4" t="n"/>
    </row>
    <row r="41">
      <c r="A41" s="30" t="n"/>
      <c r="B41" s="4" t="n"/>
      <c r="C41" s="4" t="n"/>
      <c r="D41" s="4" t="n"/>
      <c r="E41" s="4" t="n"/>
      <c r="F41" s="4" t="n"/>
      <c r="G41" s="31" t="n"/>
      <c r="H41" s="32" t="n"/>
      <c r="I41" s="32" t="n"/>
      <c r="J41" s="32" t="n"/>
      <c r="K41" s="20">
        <f>IF(AND(H41&lt;&gt;"",I41&lt;&gt;""),ABS(H41-I41),"")</f>
        <v/>
      </c>
      <c r="L41" s="33">
        <f>IFERROR(ABS(J41-H41)/K41,"")</f>
        <v/>
      </c>
      <c r="M41" s="4" t="n"/>
      <c r="N41" s="19">
        <f>IF(AND(K41&lt;&gt;"",M41&lt;&gt;""),K41*M41,"")</f>
        <v/>
      </c>
      <c r="O41" s="24">
        <f>IFERROR(N41/$B$3,"")</f>
        <v/>
      </c>
      <c r="P41" s="31" t="n"/>
      <c r="Q41" s="32" t="n"/>
      <c r="R41" s="4" t="n"/>
      <c r="S41" s="13" t="n"/>
      <c r="T41" s="33">
        <f>IFERROR(S41/N41,"")</f>
        <v/>
      </c>
      <c r="U41" s="4" t="n"/>
      <c r="V41" s="4" t="n"/>
      <c r="W41" s="4" t="n"/>
    </row>
    <row r="42">
      <c r="A42" s="30" t="n"/>
      <c r="B42" s="4" t="n"/>
      <c r="C42" s="4" t="n"/>
      <c r="D42" s="4" t="n"/>
      <c r="E42" s="4" t="n"/>
      <c r="F42" s="4" t="n"/>
      <c r="G42" s="31" t="n"/>
      <c r="H42" s="32" t="n"/>
      <c r="I42" s="32" t="n"/>
      <c r="J42" s="32" t="n"/>
      <c r="K42" s="20">
        <f>IF(AND(H42&lt;&gt;"",I42&lt;&gt;""),ABS(H42-I42),"")</f>
        <v/>
      </c>
      <c r="L42" s="33">
        <f>IFERROR(ABS(J42-H42)/K42,"")</f>
        <v/>
      </c>
      <c r="M42" s="4" t="n"/>
      <c r="N42" s="19">
        <f>IF(AND(K42&lt;&gt;"",M42&lt;&gt;""),K42*M42,"")</f>
        <v/>
      </c>
      <c r="O42" s="24">
        <f>IFERROR(N42/$B$3,"")</f>
        <v/>
      </c>
      <c r="P42" s="31" t="n"/>
      <c r="Q42" s="32" t="n"/>
      <c r="R42" s="4" t="n"/>
      <c r="S42" s="13" t="n"/>
      <c r="T42" s="33">
        <f>IFERROR(S42/N42,"")</f>
        <v/>
      </c>
      <c r="U42" s="4" t="n"/>
      <c r="V42" s="4" t="n"/>
      <c r="W42" s="4" t="n"/>
    </row>
    <row r="43">
      <c r="A43" s="30" t="n"/>
      <c r="B43" s="4" t="n"/>
      <c r="C43" s="4" t="n"/>
      <c r="D43" s="4" t="n"/>
      <c r="E43" s="4" t="n"/>
      <c r="F43" s="4" t="n"/>
      <c r="G43" s="31" t="n"/>
      <c r="H43" s="32" t="n"/>
      <c r="I43" s="32" t="n"/>
      <c r="J43" s="32" t="n"/>
      <c r="K43" s="20">
        <f>IF(AND(H43&lt;&gt;"",I43&lt;&gt;""),ABS(H43-I43),"")</f>
        <v/>
      </c>
      <c r="L43" s="33">
        <f>IFERROR(ABS(J43-H43)/K43,"")</f>
        <v/>
      </c>
      <c r="M43" s="4" t="n"/>
      <c r="N43" s="19">
        <f>IF(AND(K43&lt;&gt;"",M43&lt;&gt;""),K43*M43,"")</f>
        <v/>
      </c>
      <c r="O43" s="24">
        <f>IFERROR(N43/$B$3,"")</f>
        <v/>
      </c>
      <c r="P43" s="31" t="n"/>
      <c r="Q43" s="32" t="n"/>
      <c r="R43" s="4" t="n"/>
      <c r="S43" s="13" t="n"/>
      <c r="T43" s="33">
        <f>IFERROR(S43/N43,"")</f>
        <v/>
      </c>
      <c r="U43" s="4" t="n"/>
      <c r="V43" s="4" t="n"/>
      <c r="W43" s="4" t="n"/>
    </row>
    <row r="44">
      <c r="A44" s="30" t="n"/>
      <c r="B44" s="4" t="n"/>
      <c r="C44" s="4" t="n"/>
      <c r="D44" s="4" t="n"/>
      <c r="E44" s="4" t="n"/>
      <c r="F44" s="4" t="n"/>
      <c r="G44" s="31" t="n"/>
      <c r="H44" s="32" t="n"/>
      <c r="I44" s="32" t="n"/>
      <c r="J44" s="32" t="n"/>
      <c r="K44" s="20">
        <f>IF(AND(H44&lt;&gt;"",I44&lt;&gt;""),ABS(H44-I44),"")</f>
        <v/>
      </c>
      <c r="L44" s="33">
        <f>IFERROR(ABS(J44-H44)/K44,"")</f>
        <v/>
      </c>
      <c r="M44" s="4" t="n"/>
      <c r="N44" s="19">
        <f>IF(AND(K44&lt;&gt;"",M44&lt;&gt;""),K44*M44,"")</f>
        <v/>
      </c>
      <c r="O44" s="24">
        <f>IFERROR(N44/$B$3,"")</f>
        <v/>
      </c>
      <c r="P44" s="31" t="n"/>
      <c r="Q44" s="32" t="n"/>
      <c r="R44" s="4" t="n"/>
      <c r="S44" s="13" t="n"/>
      <c r="T44" s="33">
        <f>IFERROR(S44/N44,"")</f>
        <v/>
      </c>
      <c r="U44" s="4" t="n"/>
      <c r="V44" s="4" t="n"/>
      <c r="W44" s="4" t="n"/>
    </row>
    <row r="45">
      <c r="A45" s="30" t="n"/>
      <c r="B45" s="4" t="n"/>
      <c r="C45" s="4" t="n"/>
      <c r="D45" s="4" t="n"/>
      <c r="E45" s="4" t="n"/>
      <c r="F45" s="4" t="n"/>
      <c r="G45" s="31" t="n"/>
      <c r="H45" s="32" t="n"/>
      <c r="I45" s="32" t="n"/>
      <c r="J45" s="32" t="n"/>
      <c r="K45" s="20">
        <f>IF(AND(H45&lt;&gt;"",I45&lt;&gt;""),ABS(H45-I45),"")</f>
        <v/>
      </c>
      <c r="L45" s="33">
        <f>IFERROR(ABS(J45-H45)/K45,"")</f>
        <v/>
      </c>
      <c r="M45" s="4" t="n"/>
      <c r="N45" s="19">
        <f>IF(AND(K45&lt;&gt;"",M45&lt;&gt;""),K45*M45,"")</f>
        <v/>
      </c>
      <c r="O45" s="24">
        <f>IFERROR(N45/$B$3,"")</f>
        <v/>
      </c>
      <c r="P45" s="31" t="n"/>
      <c r="Q45" s="32" t="n"/>
      <c r="R45" s="4" t="n"/>
      <c r="S45" s="13" t="n"/>
      <c r="T45" s="33">
        <f>IFERROR(S45/N45,"")</f>
        <v/>
      </c>
      <c r="U45" s="4" t="n"/>
      <c r="V45" s="4" t="n"/>
      <c r="W45" s="4" t="n"/>
    </row>
    <row r="46">
      <c r="A46" s="30" t="n"/>
      <c r="B46" s="4" t="n"/>
      <c r="C46" s="4" t="n"/>
      <c r="D46" s="4" t="n"/>
      <c r="E46" s="4" t="n"/>
      <c r="F46" s="4" t="n"/>
      <c r="G46" s="31" t="n"/>
      <c r="H46" s="32" t="n"/>
      <c r="I46" s="32" t="n"/>
      <c r="J46" s="32" t="n"/>
      <c r="K46" s="20">
        <f>IF(AND(H46&lt;&gt;"",I46&lt;&gt;""),ABS(H46-I46),"")</f>
        <v/>
      </c>
      <c r="L46" s="33">
        <f>IFERROR(ABS(J46-H46)/K46,"")</f>
        <v/>
      </c>
      <c r="M46" s="4" t="n"/>
      <c r="N46" s="19">
        <f>IF(AND(K46&lt;&gt;"",M46&lt;&gt;""),K46*M46,"")</f>
        <v/>
      </c>
      <c r="O46" s="24">
        <f>IFERROR(N46/$B$3,"")</f>
        <v/>
      </c>
      <c r="P46" s="31" t="n"/>
      <c r="Q46" s="32" t="n"/>
      <c r="R46" s="4" t="n"/>
      <c r="S46" s="13" t="n"/>
      <c r="T46" s="33">
        <f>IFERROR(S46/N46,"")</f>
        <v/>
      </c>
      <c r="U46" s="4" t="n"/>
      <c r="V46" s="4" t="n"/>
      <c r="W46" s="4" t="n"/>
    </row>
    <row r="47">
      <c r="A47" s="30" t="n"/>
      <c r="B47" s="4" t="n"/>
      <c r="C47" s="4" t="n"/>
      <c r="D47" s="4" t="n"/>
      <c r="E47" s="4" t="n"/>
      <c r="F47" s="4" t="n"/>
      <c r="G47" s="31" t="n"/>
      <c r="H47" s="32" t="n"/>
      <c r="I47" s="32" t="n"/>
      <c r="J47" s="32" t="n"/>
      <c r="K47" s="20">
        <f>IF(AND(H47&lt;&gt;"",I47&lt;&gt;""),ABS(H47-I47),"")</f>
        <v/>
      </c>
      <c r="L47" s="33">
        <f>IFERROR(ABS(J47-H47)/K47,"")</f>
        <v/>
      </c>
      <c r="M47" s="4" t="n"/>
      <c r="N47" s="19">
        <f>IF(AND(K47&lt;&gt;"",M47&lt;&gt;""),K47*M47,"")</f>
        <v/>
      </c>
      <c r="O47" s="24">
        <f>IFERROR(N47/$B$3,"")</f>
        <v/>
      </c>
      <c r="P47" s="31" t="n"/>
      <c r="Q47" s="32" t="n"/>
      <c r="R47" s="4" t="n"/>
      <c r="S47" s="13" t="n"/>
      <c r="T47" s="33">
        <f>IFERROR(S47/N47,"")</f>
        <v/>
      </c>
      <c r="U47" s="4" t="n"/>
      <c r="V47" s="4" t="n"/>
      <c r="W47" s="4" t="n"/>
    </row>
    <row r="48">
      <c r="A48" s="30" t="n"/>
      <c r="B48" s="4" t="n"/>
      <c r="C48" s="4" t="n"/>
      <c r="D48" s="4" t="n"/>
      <c r="E48" s="4" t="n"/>
      <c r="F48" s="4" t="n"/>
      <c r="G48" s="31" t="n"/>
      <c r="H48" s="32" t="n"/>
      <c r="I48" s="32" t="n"/>
      <c r="J48" s="32" t="n"/>
      <c r="K48" s="20">
        <f>IF(AND(H48&lt;&gt;"",I48&lt;&gt;""),ABS(H48-I48),"")</f>
        <v/>
      </c>
      <c r="L48" s="33">
        <f>IFERROR(ABS(J48-H48)/K48,"")</f>
        <v/>
      </c>
      <c r="M48" s="4" t="n"/>
      <c r="N48" s="19">
        <f>IF(AND(K48&lt;&gt;"",M48&lt;&gt;""),K48*M48,"")</f>
        <v/>
      </c>
      <c r="O48" s="24">
        <f>IFERROR(N48/$B$3,"")</f>
        <v/>
      </c>
      <c r="P48" s="31" t="n"/>
      <c r="Q48" s="32" t="n"/>
      <c r="R48" s="4" t="n"/>
      <c r="S48" s="13" t="n"/>
      <c r="T48" s="33">
        <f>IFERROR(S48/N48,"")</f>
        <v/>
      </c>
      <c r="U48" s="4" t="n"/>
      <c r="V48" s="4" t="n"/>
      <c r="W48" s="4" t="n"/>
    </row>
    <row r="49">
      <c r="A49" s="30" t="n"/>
      <c r="B49" s="4" t="n"/>
      <c r="C49" s="4" t="n"/>
      <c r="D49" s="4" t="n"/>
      <c r="E49" s="4" t="n"/>
      <c r="F49" s="4" t="n"/>
      <c r="G49" s="31" t="n"/>
      <c r="H49" s="32" t="n"/>
      <c r="I49" s="32" t="n"/>
      <c r="J49" s="32" t="n"/>
      <c r="K49" s="20">
        <f>IF(AND(H49&lt;&gt;"",I49&lt;&gt;""),ABS(H49-I49),"")</f>
        <v/>
      </c>
      <c r="L49" s="33">
        <f>IFERROR(ABS(J49-H49)/K49,"")</f>
        <v/>
      </c>
      <c r="M49" s="4" t="n"/>
      <c r="N49" s="19">
        <f>IF(AND(K49&lt;&gt;"",M49&lt;&gt;""),K49*M49,"")</f>
        <v/>
      </c>
      <c r="O49" s="24">
        <f>IFERROR(N49/$B$3,"")</f>
        <v/>
      </c>
      <c r="P49" s="31" t="n"/>
      <c r="Q49" s="32" t="n"/>
      <c r="R49" s="4" t="n"/>
      <c r="S49" s="13" t="n"/>
      <c r="T49" s="33">
        <f>IFERROR(S49/N49,"")</f>
        <v/>
      </c>
      <c r="U49" s="4" t="n"/>
      <c r="V49" s="4" t="n"/>
      <c r="W49" s="4" t="n"/>
    </row>
    <row r="50">
      <c r="A50" s="30" t="n"/>
      <c r="B50" s="4" t="n"/>
      <c r="C50" s="4" t="n"/>
      <c r="D50" s="4" t="n"/>
      <c r="E50" s="4" t="n"/>
      <c r="F50" s="4" t="n"/>
      <c r="G50" s="31" t="n"/>
      <c r="H50" s="32" t="n"/>
      <c r="I50" s="32" t="n"/>
      <c r="J50" s="32" t="n"/>
      <c r="K50" s="20">
        <f>IF(AND(H50&lt;&gt;"",I50&lt;&gt;""),ABS(H50-I50),"")</f>
        <v/>
      </c>
      <c r="L50" s="33">
        <f>IFERROR(ABS(J50-H50)/K50,"")</f>
        <v/>
      </c>
      <c r="M50" s="4" t="n"/>
      <c r="N50" s="19">
        <f>IF(AND(K50&lt;&gt;"",M50&lt;&gt;""),K50*M50,"")</f>
        <v/>
      </c>
      <c r="O50" s="24">
        <f>IFERROR(N50/$B$3,"")</f>
        <v/>
      </c>
      <c r="P50" s="31" t="n"/>
      <c r="Q50" s="32" t="n"/>
      <c r="R50" s="4" t="n"/>
      <c r="S50" s="13" t="n"/>
      <c r="T50" s="33">
        <f>IFERROR(S50/N50,"")</f>
        <v/>
      </c>
      <c r="U50" s="4" t="n"/>
      <c r="V50" s="4" t="n"/>
      <c r="W50" s="4" t="n"/>
    </row>
    <row r="51">
      <c r="A51" s="30" t="n"/>
      <c r="B51" s="4" t="n"/>
      <c r="C51" s="4" t="n"/>
      <c r="D51" s="4" t="n"/>
      <c r="E51" s="4" t="n"/>
      <c r="F51" s="4" t="n"/>
      <c r="G51" s="31" t="n"/>
      <c r="H51" s="32" t="n"/>
      <c r="I51" s="32" t="n"/>
      <c r="J51" s="32" t="n"/>
      <c r="K51" s="20">
        <f>IF(AND(H51&lt;&gt;"",I51&lt;&gt;""),ABS(H51-I51),"")</f>
        <v/>
      </c>
      <c r="L51" s="33">
        <f>IFERROR(ABS(J51-H51)/K51,"")</f>
        <v/>
      </c>
      <c r="M51" s="4" t="n"/>
      <c r="N51" s="19">
        <f>IF(AND(K51&lt;&gt;"",M51&lt;&gt;""),K51*M51,"")</f>
        <v/>
      </c>
      <c r="O51" s="24">
        <f>IFERROR(N51/$B$3,"")</f>
        <v/>
      </c>
      <c r="P51" s="31" t="n"/>
      <c r="Q51" s="32" t="n"/>
      <c r="R51" s="4" t="n"/>
      <c r="S51" s="13" t="n"/>
      <c r="T51" s="33">
        <f>IFERROR(S51/N51,"")</f>
        <v/>
      </c>
      <c r="U51" s="4" t="n"/>
      <c r="V51" s="4" t="n"/>
      <c r="W51" s="4" t="n"/>
    </row>
    <row r="52">
      <c r="A52" s="30" t="n"/>
      <c r="B52" s="4" t="n"/>
      <c r="C52" s="4" t="n"/>
      <c r="D52" s="4" t="n"/>
      <c r="E52" s="4" t="n"/>
      <c r="F52" s="4" t="n"/>
      <c r="G52" s="31" t="n"/>
      <c r="H52" s="32" t="n"/>
      <c r="I52" s="32" t="n"/>
      <c r="J52" s="32" t="n"/>
      <c r="K52" s="20">
        <f>IF(AND(H52&lt;&gt;"",I52&lt;&gt;""),ABS(H52-I52),"")</f>
        <v/>
      </c>
      <c r="L52" s="33">
        <f>IFERROR(ABS(J52-H52)/K52,"")</f>
        <v/>
      </c>
      <c r="M52" s="4" t="n"/>
      <c r="N52" s="19">
        <f>IF(AND(K52&lt;&gt;"",M52&lt;&gt;""),K52*M52,"")</f>
        <v/>
      </c>
      <c r="O52" s="24">
        <f>IFERROR(N52/$B$3,"")</f>
        <v/>
      </c>
      <c r="P52" s="31" t="n"/>
      <c r="Q52" s="32" t="n"/>
      <c r="R52" s="4" t="n"/>
      <c r="S52" s="13" t="n"/>
      <c r="T52" s="33">
        <f>IFERROR(S52/N52,"")</f>
        <v/>
      </c>
      <c r="U52" s="4" t="n"/>
      <c r="V52" s="4" t="n"/>
      <c r="W52" s="4" t="n"/>
    </row>
    <row r="53">
      <c r="A53" s="30" t="n"/>
      <c r="B53" s="4" t="n"/>
      <c r="C53" s="4" t="n"/>
      <c r="D53" s="4" t="n"/>
      <c r="E53" s="4" t="n"/>
      <c r="F53" s="4" t="n"/>
      <c r="G53" s="31" t="n"/>
      <c r="H53" s="32" t="n"/>
      <c r="I53" s="32" t="n"/>
      <c r="J53" s="32" t="n"/>
      <c r="K53" s="20">
        <f>IF(AND(H53&lt;&gt;"",I53&lt;&gt;""),ABS(H53-I53),"")</f>
        <v/>
      </c>
      <c r="L53" s="33">
        <f>IFERROR(ABS(J53-H53)/K53,"")</f>
        <v/>
      </c>
      <c r="M53" s="4" t="n"/>
      <c r="N53" s="19">
        <f>IF(AND(K53&lt;&gt;"",M53&lt;&gt;""),K53*M53,"")</f>
        <v/>
      </c>
      <c r="O53" s="24">
        <f>IFERROR(N53/$B$3,"")</f>
        <v/>
      </c>
      <c r="P53" s="31" t="n"/>
      <c r="Q53" s="32" t="n"/>
      <c r="R53" s="4" t="n"/>
      <c r="S53" s="13" t="n"/>
      <c r="T53" s="33">
        <f>IFERROR(S53/N53,"")</f>
        <v/>
      </c>
      <c r="U53" s="4" t="n"/>
      <c r="V53" s="4" t="n"/>
      <c r="W53" s="4" t="n"/>
    </row>
    <row r="54">
      <c r="A54" s="30" t="n"/>
      <c r="B54" s="4" t="n"/>
      <c r="C54" s="4" t="n"/>
      <c r="D54" s="4" t="n"/>
      <c r="E54" s="4" t="n"/>
      <c r="F54" s="4" t="n"/>
      <c r="G54" s="31" t="n"/>
      <c r="H54" s="32" t="n"/>
      <c r="I54" s="32" t="n"/>
      <c r="J54" s="32" t="n"/>
      <c r="K54" s="20">
        <f>IF(AND(H54&lt;&gt;"",I54&lt;&gt;""),ABS(H54-I54),"")</f>
        <v/>
      </c>
      <c r="L54" s="33">
        <f>IFERROR(ABS(J54-H54)/K54,"")</f>
        <v/>
      </c>
      <c r="M54" s="4" t="n"/>
      <c r="N54" s="19">
        <f>IF(AND(K54&lt;&gt;"",M54&lt;&gt;""),K54*M54,"")</f>
        <v/>
      </c>
      <c r="O54" s="24">
        <f>IFERROR(N54/$B$3,"")</f>
        <v/>
      </c>
      <c r="P54" s="31" t="n"/>
      <c r="Q54" s="32" t="n"/>
      <c r="R54" s="4" t="n"/>
      <c r="S54" s="13" t="n"/>
      <c r="T54" s="33">
        <f>IFERROR(S54/N54,"")</f>
        <v/>
      </c>
      <c r="U54" s="4" t="n"/>
      <c r="V54" s="4" t="n"/>
      <c r="W54" s="4" t="n"/>
    </row>
    <row r="55">
      <c r="A55" s="30" t="n"/>
      <c r="B55" s="4" t="n"/>
      <c r="C55" s="4" t="n"/>
      <c r="D55" s="4" t="n"/>
      <c r="E55" s="4" t="n"/>
      <c r="F55" s="4" t="n"/>
      <c r="G55" s="31" t="n"/>
      <c r="H55" s="32" t="n"/>
      <c r="I55" s="32" t="n"/>
      <c r="J55" s="32" t="n"/>
      <c r="K55" s="20">
        <f>IF(AND(H55&lt;&gt;"",I55&lt;&gt;""),ABS(H55-I55),"")</f>
        <v/>
      </c>
      <c r="L55" s="33">
        <f>IFERROR(ABS(J55-H55)/K55,"")</f>
        <v/>
      </c>
      <c r="M55" s="4" t="n"/>
      <c r="N55" s="19">
        <f>IF(AND(K55&lt;&gt;"",M55&lt;&gt;""),K55*M55,"")</f>
        <v/>
      </c>
      <c r="O55" s="24">
        <f>IFERROR(N55/$B$3,"")</f>
        <v/>
      </c>
      <c r="P55" s="31" t="n"/>
      <c r="Q55" s="32" t="n"/>
      <c r="R55" s="4" t="n"/>
      <c r="S55" s="13" t="n"/>
      <c r="T55" s="33">
        <f>IFERROR(S55/N55,"")</f>
        <v/>
      </c>
      <c r="U55" s="4" t="n"/>
      <c r="V55" s="4" t="n"/>
      <c r="W55" s="4" t="n"/>
    </row>
    <row r="56">
      <c r="A56" s="30" t="n"/>
      <c r="B56" s="4" t="n"/>
      <c r="C56" s="4" t="n"/>
      <c r="D56" s="4" t="n"/>
      <c r="E56" s="4" t="n"/>
      <c r="F56" s="4" t="n"/>
      <c r="G56" s="31" t="n"/>
      <c r="H56" s="32" t="n"/>
      <c r="I56" s="32" t="n"/>
      <c r="J56" s="32" t="n"/>
      <c r="K56" s="20">
        <f>IF(AND(H56&lt;&gt;"",I56&lt;&gt;""),ABS(H56-I56),"")</f>
        <v/>
      </c>
      <c r="L56" s="33">
        <f>IFERROR(ABS(J56-H56)/K56,"")</f>
        <v/>
      </c>
      <c r="M56" s="4" t="n"/>
      <c r="N56" s="19">
        <f>IF(AND(K56&lt;&gt;"",M56&lt;&gt;""),K56*M56,"")</f>
        <v/>
      </c>
      <c r="O56" s="24">
        <f>IFERROR(N56/$B$3,"")</f>
        <v/>
      </c>
      <c r="P56" s="31" t="n"/>
      <c r="Q56" s="32" t="n"/>
      <c r="R56" s="4" t="n"/>
      <c r="S56" s="13" t="n"/>
      <c r="T56" s="33">
        <f>IFERROR(S56/N56,"")</f>
        <v/>
      </c>
      <c r="U56" s="4" t="n"/>
      <c r="V56" s="4" t="n"/>
      <c r="W56" s="4" t="n"/>
    </row>
    <row r="57">
      <c r="A57" s="30" t="n"/>
      <c r="B57" s="4" t="n"/>
      <c r="C57" s="4" t="n"/>
      <c r="D57" s="4" t="n"/>
      <c r="E57" s="4" t="n"/>
      <c r="F57" s="4" t="n"/>
      <c r="G57" s="31" t="n"/>
      <c r="H57" s="32" t="n"/>
      <c r="I57" s="32" t="n"/>
      <c r="J57" s="32" t="n"/>
      <c r="K57" s="20">
        <f>IF(AND(H57&lt;&gt;"",I57&lt;&gt;""),ABS(H57-I57),"")</f>
        <v/>
      </c>
      <c r="L57" s="33">
        <f>IFERROR(ABS(J57-H57)/K57,"")</f>
        <v/>
      </c>
      <c r="M57" s="4" t="n"/>
      <c r="N57" s="19">
        <f>IF(AND(K57&lt;&gt;"",M57&lt;&gt;""),K57*M57,"")</f>
        <v/>
      </c>
      <c r="O57" s="24">
        <f>IFERROR(N57/$B$3,"")</f>
        <v/>
      </c>
      <c r="P57" s="31" t="n"/>
      <c r="Q57" s="32" t="n"/>
      <c r="R57" s="4" t="n"/>
      <c r="S57" s="13" t="n"/>
      <c r="T57" s="33">
        <f>IFERROR(S57/N57,"")</f>
        <v/>
      </c>
      <c r="U57" s="4" t="n"/>
      <c r="V57" s="4" t="n"/>
      <c r="W57" s="4" t="n"/>
    </row>
    <row r="58">
      <c r="A58" s="30" t="n"/>
      <c r="B58" s="4" t="n"/>
      <c r="C58" s="4" t="n"/>
      <c r="D58" s="4" t="n"/>
      <c r="E58" s="4" t="n"/>
      <c r="F58" s="4" t="n"/>
      <c r="G58" s="31" t="n"/>
      <c r="H58" s="32" t="n"/>
      <c r="I58" s="32" t="n"/>
      <c r="J58" s="32" t="n"/>
      <c r="K58" s="20">
        <f>IF(AND(H58&lt;&gt;"",I58&lt;&gt;""),ABS(H58-I58),"")</f>
        <v/>
      </c>
      <c r="L58" s="33">
        <f>IFERROR(ABS(J58-H58)/K58,"")</f>
        <v/>
      </c>
      <c r="M58" s="4" t="n"/>
      <c r="N58" s="19">
        <f>IF(AND(K58&lt;&gt;"",M58&lt;&gt;""),K58*M58,"")</f>
        <v/>
      </c>
      <c r="O58" s="24">
        <f>IFERROR(N58/$B$3,"")</f>
        <v/>
      </c>
      <c r="P58" s="31" t="n"/>
      <c r="Q58" s="32" t="n"/>
      <c r="R58" s="4" t="n"/>
      <c r="S58" s="13" t="n"/>
      <c r="T58" s="33">
        <f>IFERROR(S58/N58,"")</f>
        <v/>
      </c>
      <c r="U58" s="4" t="n"/>
      <c r="V58" s="4" t="n"/>
      <c r="W58" s="4" t="n"/>
    </row>
    <row r="59">
      <c r="A59" s="30" t="n"/>
      <c r="B59" s="4" t="n"/>
      <c r="C59" s="4" t="n"/>
      <c r="D59" s="4" t="n"/>
      <c r="E59" s="4" t="n"/>
      <c r="F59" s="4" t="n"/>
      <c r="G59" s="31" t="n"/>
      <c r="H59" s="32" t="n"/>
      <c r="I59" s="32" t="n"/>
      <c r="J59" s="32" t="n"/>
      <c r="K59" s="20">
        <f>IF(AND(H59&lt;&gt;"",I59&lt;&gt;""),ABS(H59-I59),"")</f>
        <v/>
      </c>
      <c r="L59" s="33">
        <f>IFERROR(ABS(J59-H59)/K59,"")</f>
        <v/>
      </c>
      <c r="M59" s="4" t="n"/>
      <c r="N59" s="19">
        <f>IF(AND(K59&lt;&gt;"",M59&lt;&gt;""),K59*M59,"")</f>
        <v/>
      </c>
      <c r="O59" s="24">
        <f>IFERROR(N59/$B$3,"")</f>
        <v/>
      </c>
      <c r="P59" s="31" t="n"/>
      <c r="Q59" s="32" t="n"/>
      <c r="R59" s="4" t="n"/>
      <c r="S59" s="13" t="n"/>
      <c r="T59" s="33">
        <f>IFERROR(S59/N59,"")</f>
        <v/>
      </c>
      <c r="U59" s="4" t="n"/>
      <c r="V59" s="4" t="n"/>
      <c r="W59" s="4" t="n"/>
    </row>
    <row r="60">
      <c r="A60" s="30" t="n"/>
      <c r="B60" s="4" t="n"/>
      <c r="C60" s="4" t="n"/>
      <c r="D60" s="4" t="n"/>
      <c r="E60" s="4" t="n"/>
      <c r="F60" s="4" t="n"/>
      <c r="G60" s="31" t="n"/>
      <c r="H60" s="32" t="n"/>
      <c r="I60" s="32" t="n"/>
      <c r="J60" s="32" t="n"/>
      <c r="K60" s="20">
        <f>IF(AND(H60&lt;&gt;"",I60&lt;&gt;""),ABS(H60-I60),"")</f>
        <v/>
      </c>
      <c r="L60" s="33">
        <f>IFERROR(ABS(J60-H60)/K60,"")</f>
        <v/>
      </c>
      <c r="M60" s="4" t="n"/>
      <c r="N60" s="19">
        <f>IF(AND(K60&lt;&gt;"",M60&lt;&gt;""),K60*M60,"")</f>
        <v/>
      </c>
      <c r="O60" s="24">
        <f>IFERROR(N60/$B$3,"")</f>
        <v/>
      </c>
      <c r="P60" s="31" t="n"/>
      <c r="Q60" s="32" t="n"/>
      <c r="R60" s="4" t="n"/>
      <c r="S60" s="13" t="n"/>
      <c r="T60" s="33">
        <f>IFERROR(S60/N60,"")</f>
        <v/>
      </c>
      <c r="U60" s="4" t="n"/>
      <c r="V60" s="4" t="n"/>
      <c r="W60" s="4" t="n"/>
    </row>
    <row r="61">
      <c r="A61" s="30" t="n"/>
      <c r="B61" s="4" t="n"/>
      <c r="C61" s="4" t="n"/>
      <c r="D61" s="4" t="n"/>
      <c r="E61" s="4" t="n"/>
      <c r="F61" s="4" t="n"/>
      <c r="G61" s="31" t="n"/>
      <c r="H61" s="32" t="n"/>
      <c r="I61" s="32" t="n"/>
      <c r="J61" s="32" t="n"/>
      <c r="K61" s="20">
        <f>IF(AND(H61&lt;&gt;"",I61&lt;&gt;""),ABS(H61-I61),"")</f>
        <v/>
      </c>
      <c r="L61" s="33">
        <f>IFERROR(ABS(J61-H61)/K61,"")</f>
        <v/>
      </c>
      <c r="M61" s="4" t="n"/>
      <c r="N61" s="19">
        <f>IF(AND(K61&lt;&gt;"",M61&lt;&gt;""),K61*M61,"")</f>
        <v/>
      </c>
      <c r="O61" s="24">
        <f>IFERROR(N61/$B$3,"")</f>
        <v/>
      </c>
      <c r="P61" s="31" t="n"/>
      <c r="Q61" s="32" t="n"/>
      <c r="R61" s="4" t="n"/>
      <c r="S61" s="13" t="n"/>
      <c r="T61" s="33">
        <f>IFERROR(S61/N61,"")</f>
        <v/>
      </c>
      <c r="U61" s="4" t="n"/>
      <c r="V61" s="4" t="n"/>
      <c r="W61" s="4" t="n"/>
    </row>
    <row r="62">
      <c r="A62" s="30" t="n"/>
      <c r="B62" s="4" t="n"/>
      <c r="C62" s="4" t="n"/>
      <c r="D62" s="4" t="n"/>
      <c r="E62" s="4" t="n"/>
      <c r="F62" s="4" t="n"/>
      <c r="G62" s="31" t="n"/>
      <c r="H62" s="32" t="n"/>
      <c r="I62" s="32" t="n"/>
      <c r="J62" s="32" t="n"/>
      <c r="K62" s="20">
        <f>IF(AND(H62&lt;&gt;"",I62&lt;&gt;""),ABS(H62-I62),"")</f>
        <v/>
      </c>
      <c r="L62" s="33">
        <f>IFERROR(ABS(J62-H62)/K62,"")</f>
        <v/>
      </c>
      <c r="M62" s="4" t="n"/>
      <c r="N62" s="19">
        <f>IF(AND(K62&lt;&gt;"",M62&lt;&gt;""),K62*M62,"")</f>
        <v/>
      </c>
      <c r="O62" s="24">
        <f>IFERROR(N62/$B$3,"")</f>
        <v/>
      </c>
      <c r="P62" s="31" t="n"/>
      <c r="Q62" s="32" t="n"/>
      <c r="R62" s="4" t="n"/>
      <c r="S62" s="13" t="n"/>
      <c r="T62" s="33">
        <f>IFERROR(S62/N62,"")</f>
        <v/>
      </c>
      <c r="U62" s="4" t="n"/>
      <c r="V62" s="4" t="n"/>
      <c r="W62" s="4" t="n"/>
    </row>
    <row r="63">
      <c r="A63" s="30" t="n"/>
      <c r="B63" s="4" t="n"/>
      <c r="C63" s="4" t="n"/>
      <c r="D63" s="4" t="n"/>
      <c r="E63" s="4" t="n"/>
      <c r="F63" s="4" t="n"/>
      <c r="G63" s="31" t="n"/>
      <c r="H63" s="32" t="n"/>
      <c r="I63" s="32" t="n"/>
      <c r="J63" s="32" t="n"/>
      <c r="K63" s="20">
        <f>IF(AND(H63&lt;&gt;"",I63&lt;&gt;""),ABS(H63-I63),"")</f>
        <v/>
      </c>
      <c r="L63" s="33">
        <f>IFERROR(ABS(J63-H63)/K63,"")</f>
        <v/>
      </c>
      <c r="M63" s="4" t="n"/>
      <c r="N63" s="19">
        <f>IF(AND(K63&lt;&gt;"",M63&lt;&gt;""),K63*M63,"")</f>
        <v/>
      </c>
      <c r="O63" s="24">
        <f>IFERROR(N63/$B$3,"")</f>
        <v/>
      </c>
      <c r="P63" s="31" t="n"/>
      <c r="Q63" s="32" t="n"/>
      <c r="R63" s="4" t="n"/>
      <c r="S63" s="13" t="n"/>
      <c r="T63" s="33">
        <f>IFERROR(S63/N63,"")</f>
        <v/>
      </c>
      <c r="U63" s="4" t="n"/>
      <c r="V63" s="4" t="n"/>
      <c r="W63" s="4" t="n"/>
    </row>
    <row r="64">
      <c r="A64" s="30" t="n"/>
      <c r="B64" s="4" t="n"/>
      <c r="C64" s="4" t="n"/>
      <c r="D64" s="4" t="n"/>
      <c r="E64" s="4" t="n"/>
      <c r="F64" s="4" t="n"/>
      <c r="G64" s="31" t="n"/>
      <c r="H64" s="32" t="n"/>
      <c r="I64" s="32" t="n"/>
      <c r="J64" s="32" t="n"/>
      <c r="K64" s="20">
        <f>IF(AND(H64&lt;&gt;"",I64&lt;&gt;""),ABS(H64-I64),"")</f>
        <v/>
      </c>
      <c r="L64" s="33">
        <f>IFERROR(ABS(J64-H64)/K64,"")</f>
        <v/>
      </c>
      <c r="M64" s="4" t="n"/>
      <c r="N64" s="19">
        <f>IF(AND(K64&lt;&gt;"",M64&lt;&gt;""),K64*M64,"")</f>
        <v/>
      </c>
      <c r="O64" s="24">
        <f>IFERROR(N64/$B$3,"")</f>
        <v/>
      </c>
      <c r="P64" s="31" t="n"/>
      <c r="Q64" s="32" t="n"/>
      <c r="R64" s="4" t="n"/>
      <c r="S64" s="13" t="n"/>
      <c r="T64" s="33">
        <f>IFERROR(S64/N64,"")</f>
        <v/>
      </c>
      <c r="U64" s="4" t="n"/>
      <c r="V64" s="4" t="n"/>
      <c r="W64" s="4" t="n"/>
    </row>
    <row r="65">
      <c r="A65" s="30" t="n"/>
      <c r="B65" s="4" t="n"/>
      <c r="C65" s="4" t="n"/>
      <c r="D65" s="4" t="n"/>
      <c r="E65" s="4" t="n"/>
      <c r="F65" s="4" t="n"/>
      <c r="G65" s="31" t="n"/>
      <c r="H65" s="32" t="n"/>
      <c r="I65" s="32" t="n"/>
      <c r="J65" s="32" t="n"/>
      <c r="K65" s="20">
        <f>IF(AND(H65&lt;&gt;"",I65&lt;&gt;""),ABS(H65-I65),"")</f>
        <v/>
      </c>
      <c r="L65" s="33">
        <f>IFERROR(ABS(J65-H65)/K65,"")</f>
        <v/>
      </c>
      <c r="M65" s="4" t="n"/>
      <c r="N65" s="19">
        <f>IF(AND(K65&lt;&gt;"",M65&lt;&gt;""),K65*M65,"")</f>
        <v/>
      </c>
      <c r="O65" s="24">
        <f>IFERROR(N65/$B$3,"")</f>
        <v/>
      </c>
      <c r="P65" s="31" t="n"/>
      <c r="Q65" s="32" t="n"/>
      <c r="R65" s="4" t="n"/>
      <c r="S65" s="13" t="n"/>
      <c r="T65" s="33">
        <f>IFERROR(S65/N65,"")</f>
        <v/>
      </c>
      <c r="U65" s="4" t="n"/>
      <c r="V65" s="4" t="n"/>
      <c r="W65" s="4" t="n"/>
    </row>
    <row r="66">
      <c r="A66" s="30" t="n"/>
      <c r="B66" s="4" t="n"/>
      <c r="C66" s="4" t="n"/>
      <c r="D66" s="4" t="n"/>
      <c r="E66" s="4" t="n"/>
      <c r="F66" s="4" t="n"/>
      <c r="G66" s="31" t="n"/>
      <c r="H66" s="32" t="n"/>
      <c r="I66" s="32" t="n"/>
      <c r="J66" s="32" t="n"/>
      <c r="K66" s="20">
        <f>IF(AND(H66&lt;&gt;"",I66&lt;&gt;""),ABS(H66-I66),"")</f>
        <v/>
      </c>
      <c r="L66" s="33">
        <f>IFERROR(ABS(J66-H66)/K66,"")</f>
        <v/>
      </c>
      <c r="M66" s="4" t="n"/>
      <c r="N66" s="19">
        <f>IF(AND(K66&lt;&gt;"",M66&lt;&gt;""),K66*M66,"")</f>
        <v/>
      </c>
      <c r="O66" s="24">
        <f>IFERROR(N66/$B$3,"")</f>
        <v/>
      </c>
      <c r="P66" s="31" t="n"/>
      <c r="Q66" s="32" t="n"/>
      <c r="R66" s="4" t="n"/>
      <c r="S66" s="13" t="n"/>
      <c r="T66" s="33">
        <f>IFERROR(S66/N66,"")</f>
        <v/>
      </c>
      <c r="U66" s="4" t="n"/>
      <c r="V66" s="4" t="n"/>
      <c r="W66" s="4" t="n"/>
    </row>
    <row r="67">
      <c r="A67" s="30" t="n"/>
      <c r="B67" s="4" t="n"/>
      <c r="C67" s="4" t="n"/>
      <c r="D67" s="4" t="n"/>
      <c r="E67" s="4" t="n"/>
      <c r="F67" s="4" t="n"/>
      <c r="G67" s="31" t="n"/>
      <c r="H67" s="32" t="n"/>
      <c r="I67" s="32" t="n"/>
      <c r="J67" s="32" t="n"/>
      <c r="K67" s="20">
        <f>IF(AND(H67&lt;&gt;"",I67&lt;&gt;""),ABS(H67-I67),"")</f>
        <v/>
      </c>
      <c r="L67" s="33">
        <f>IFERROR(ABS(J67-H67)/K67,"")</f>
        <v/>
      </c>
      <c r="M67" s="4" t="n"/>
      <c r="N67" s="19">
        <f>IF(AND(K67&lt;&gt;"",M67&lt;&gt;""),K67*M67,"")</f>
        <v/>
      </c>
      <c r="O67" s="24">
        <f>IFERROR(N67/$B$3,"")</f>
        <v/>
      </c>
      <c r="P67" s="31" t="n"/>
      <c r="Q67" s="32" t="n"/>
      <c r="R67" s="4" t="n"/>
      <c r="S67" s="13" t="n"/>
      <c r="T67" s="33">
        <f>IFERROR(S67/N67,"")</f>
        <v/>
      </c>
      <c r="U67" s="4" t="n"/>
      <c r="V67" s="4" t="n"/>
      <c r="W67" s="4" t="n"/>
    </row>
    <row r="68">
      <c r="A68" s="30" t="n"/>
      <c r="B68" s="4" t="n"/>
      <c r="C68" s="4" t="n"/>
      <c r="D68" s="4" t="n"/>
      <c r="E68" s="4" t="n"/>
      <c r="F68" s="4" t="n"/>
      <c r="G68" s="31" t="n"/>
      <c r="H68" s="32" t="n"/>
      <c r="I68" s="32" t="n"/>
      <c r="J68" s="32" t="n"/>
      <c r="K68" s="20">
        <f>IF(AND(H68&lt;&gt;"",I68&lt;&gt;""),ABS(H68-I68),"")</f>
        <v/>
      </c>
      <c r="L68" s="33">
        <f>IFERROR(ABS(J68-H68)/K68,"")</f>
        <v/>
      </c>
      <c r="M68" s="4" t="n"/>
      <c r="N68" s="19">
        <f>IF(AND(K68&lt;&gt;"",M68&lt;&gt;""),K68*M68,"")</f>
        <v/>
      </c>
      <c r="O68" s="24">
        <f>IFERROR(N68/$B$3,"")</f>
        <v/>
      </c>
      <c r="P68" s="31" t="n"/>
      <c r="Q68" s="32" t="n"/>
      <c r="R68" s="4" t="n"/>
      <c r="S68" s="13" t="n"/>
      <c r="T68" s="33">
        <f>IFERROR(S68/N68,"")</f>
        <v/>
      </c>
      <c r="U68" s="4" t="n"/>
      <c r="V68" s="4" t="n"/>
      <c r="W68" s="4" t="n"/>
    </row>
    <row r="69">
      <c r="A69" s="30" t="n"/>
      <c r="B69" s="4" t="n"/>
      <c r="C69" s="4" t="n"/>
      <c r="D69" s="4" t="n"/>
      <c r="E69" s="4" t="n"/>
      <c r="F69" s="4" t="n"/>
      <c r="G69" s="31" t="n"/>
      <c r="H69" s="32" t="n"/>
      <c r="I69" s="32" t="n"/>
      <c r="J69" s="32" t="n"/>
      <c r="K69" s="20">
        <f>IF(AND(H69&lt;&gt;"",I69&lt;&gt;""),ABS(H69-I69),"")</f>
        <v/>
      </c>
      <c r="L69" s="33">
        <f>IFERROR(ABS(J69-H69)/K69,"")</f>
        <v/>
      </c>
      <c r="M69" s="4" t="n"/>
      <c r="N69" s="19">
        <f>IF(AND(K69&lt;&gt;"",M69&lt;&gt;""),K69*M69,"")</f>
        <v/>
      </c>
      <c r="O69" s="24">
        <f>IFERROR(N69/$B$3,"")</f>
        <v/>
      </c>
      <c r="P69" s="31" t="n"/>
      <c r="Q69" s="32" t="n"/>
      <c r="R69" s="4" t="n"/>
      <c r="S69" s="13" t="n"/>
      <c r="T69" s="33">
        <f>IFERROR(S69/N69,"")</f>
        <v/>
      </c>
      <c r="U69" s="4" t="n"/>
      <c r="V69" s="4" t="n"/>
      <c r="W69" s="4" t="n"/>
    </row>
    <row r="70">
      <c r="A70" s="30" t="n"/>
      <c r="B70" s="4" t="n"/>
      <c r="C70" s="4" t="n"/>
      <c r="D70" s="4" t="n"/>
      <c r="E70" s="4" t="n"/>
      <c r="F70" s="4" t="n"/>
      <c r="G70" s="31" t="n"/>
      <c r="H70" s="32" t="n"/>
      <c r="I70" s="32" t="n"/>
      <c r="J70" s="32" t="n"/>
      <c r="K70" s="20">
        <f>IF(AND(H70&lt;&gt;"",I70&lt;&gt;""),ABS(H70-I70),"")</f>
        <v/>
      </c>
      <c r="L70" s="33">
        <f>IFERROR(ABS(J70-H70)/K70,"")</f>
        <v/>
      </c>
      <c r="M70" s="4" t="n"/>
      <c r="N70" s="19">
        <f>IF(AND(K70&lt;&gt;"",M70&lt;&gt;""),K70*M70,"")</f>
        <v/>
      </c>
      <c r="O70" s="24">
        <f>IFERROR(N70/$B$3,"")</f>
        <v/>
      </c>
      <c r="P70" s="31" t="n"/>
      <c r="Q70" s="32" t="n"/>
      <c r="R70" s="4" t="n"/>
      <c r="S70" s="13" t="n"/>
      <c r="T70" s="33">
        <f>IFERROR(S70/N70,"")</f>
        <v/>
      </c>
      <c r="U70" s="4" t="n"/>
      <c r="V70" s="4" t="n"/>
      <c r="W70" s="4" t="n"/>
    </row>
    <row r="71">
      <c r="A71" s="30" t="n"/>
      <c r="B71" s="4" t="n"/>
      <c r="C71" s="4" t="n"/>
      <c r="D71" s="4" t="n"/>
      <c r="E71" s="4" t="n"/>
      <c r="F71" s="4" t="n"/>
      <c r="G71" s="31" t="n"/>
      <c r="H71" s="32" t="n"/>
      <c r="I71" s="32" t="n"/>
      <c r="J71" s="32" t="n"/>
      <c r="K71" s="20">
        <f>IF(AND(H71&lt;&gt;"",I71&lt;&gt;""),ABS(H71-I71),"")</f>
        <v/>
      </c>
      <c r="L71" s="33">
        <f>IFERROR(ABS(J71-H71)/K71,"")</f>
        <v/>
      </c>
      <c r="M71" s="4" t="n"/>
      <c r="N71" s="19">
        <f>IF(AND(K71&lt;&gt;"",M71&lt;&gt;""),K71*M71,"")</f>
        <v/>
      </c>
      <c r="O71" s="24">
        <f>IFERROR(N71/$B$3,"")</f>
        <v/>
      </c>
      <c r="P71" s="31" t="n"/>
      <c r="Q71" s="32" t="n"/>
      <c r="R71" s="4" t="n"/>
      <c r="S71" s="13" t="n"/>
      <c r="T71" s="33">
        <f>IFERROR(S71/N71,"")</f>
        <v/>
      </c>
      <c r="U71" s="4" t="n"/>
      <c r="V71" s="4" t="n"/>
      <c r="W71" s="4" t="n"/>
    </row>
    <row r="72">
      <c r="A72" s="30" t="n"/>
      <c r="B72" s="4" t="n"/>
      <c r="C72" s="4" t="n"/>
      <c r="D72" s="4" t="n"/>
      <c r="E72" s="4" t="n"/>
      <c r="F72" s="4" t="n"/>
      <c r="G72" s="31" t="n"/>
      <c r="H72" s="32" t="n"/>
      <c r="I72" s="32" t="n"/>
      <c r="J72" s="32" t="n"/>
      <c r="K72" s="20">
        <f>IF(AND(H72&lt;&gt;"",I72&lt;&gt;""),ABS(H72-I72),"")</f>
        <v/>
      </c>
      <c r="L72" s="33">
        <f>IFERROR(ABS(J72-H72)/K72,"")</f>
        <v/>
      </c>
      <c r="M72" s="4" t="n"/>
      <c r="N72" s="19">
        <f>IF(AND(K72&lt;&gt;"",M72&lt;&gt;""),K72*M72,"")</f>
        <v/>
      </c>
      <c r="O72" s="24">
        <f>IFERROR(N72/$B$3,"")</f>
        <v/>
      </c>
      <c r="P72" s="31" t="n"/>
      <c r="Q72" s="32" t="n"/>
      <c r="R72" s="4" t="n"/>
      <c r="S72" s="13" t="n"/>
      <c r="T72" s="33">
        <f>IFERROR(S72/N72,"")</f>
        <v/>
      </c>
      <c r="U72" s="4" t="n"/>
      <c r="V72" s="4" t="n"/>
      <c r="W72" s="4" t="n"/>
    </row>
    <row r="73">
      <c r="A73" s="30" t="n"/>
      <c r="B73" s="4" t="n"/>
      <c r="C73" s="4" t="n"/>
      <c r="D73" s="4" t="n"/>
      <c r="E73" s="4" t="n"/>
      <c r="F73" s="4" t="n"/>
      <c r="G73" s="31" t="n"/>
      <c r="H73" s="32" t="n"/>
      <c r="I73" s="32" t="n"/>
      <c r="J73" s="32" t="n"/>
      <c r="K73" s="20">
        <f>IF(AND(H73&lt;&gt;"",I73&lt;&gt;""),ABS(H73-I73),"")</f>
        <v/>
      </c>
      <c r="L73" s="33">
        <f>IFERROR(ABS(J73-H73)/K73,"")</f>
        <v/>
      </c>
      <c r="M73" s="4" t="n"/>
      <c r="N73" s="19">
        <f>IF(AND(K73&lt;&gt;"",M73&lt;&gt;""),K73*M73,"")</f>
        <v/>
      </c>
      <c r="O73" s="24">
        <f>IFERROR(N73/$B$3,"")</f>
        <v/>
      </c>
      <c r="P73" s="31" t="n"/>
      <c r="Q73" s="32" t="n"/>
      <c r="R73" s="4" t="n"/>
      <c r="S73" s="13" t="n"/>
      <c r="T73" s="33">
        <f>IFERROR(S73/N73,"")</f>
        <v/>
      </c>
      <c r="U73" s="4" t="n"/>
      <c r="V73" s="4" t="n"/>
      <c r="W73" s="4" t="n"/>
    </row>
    <row r="74">
      <c r="A74" s="30" t="n"/>
      <c r="B74" s="4" t="n"/>
      <c r="C74" s="4" t="n"/>
      <c r="D74" s="4" t="n"/>
      <c r="E74" s="4" t="n"/>
      <c r="F74" s="4" t="n"/>
      <c r="G74" s="31" t="n"/>
      <c r="H74" s="32" t="n"/>
      <c r="I74" s="32" t="n"/>
      <c r="J74" s="32" t="n"/>
      <c r="K74" s="20">
        <f>IF(AND(H74&lt;&gt;"",I74&lt;&gt;""),ABS(H74-I74),"")</f>
        <v/>
      </c>
      <c r="L74" s="33">
        <f>IFERROR(ABS(J74-H74)/K74,"")</f>
        <v/>
      </c>
      <c r="M74" s="4" t="n"/>
      <c r="N74" s="19">
        <f>IF(AND(K74&lt;&gt;"",M74&lt;&gt;""),K74*M74,"")</f>
        <v/>
      </c>
      <c r="O74" s="24">
        <f>IFERROR(N74/$B$3,"")</f>
        <v/>
      </c>
      <c r="P74" s="31" t="n"/>
      <c r="Q74" s="32" t="n"/>
      <c r="R74" s="4" t="n"/>
      <c r="S74" s="13" t="n"/>
      <c r="T74" s="33">
        <f>IFERROR(S74/N74,"")</f>
        <v/>
      </c>
      <c r="U74" s="4" t="n"/>
      <c r="V74" s="4" t="n"/>
      <c r="W74" s="4" t="n"/>
    </row>
    <row r="75">
      <c r="A75" s="30" t="n"/>
      <c r="B75" s="4" t="n"/>
      <c r="C75" s="4" t="n"/>
      <c r="D75" s="4" t="n"/>
      <c r="E75" s="4" t="n"/>
      <c r="F75" s="4" t="n"/>
      <c r="G75" s="31" t="n"/>
      <c r="H75" s="32" t="n"/>
      <c r="I75" s="32" t="n"/>
      <c r="J75" s="32" t="n"/>
      <c r="K75" s="20">
        <f>IF(AND(H75&lt;&gt;"",I75&lt;&gt;""),ABS(H75-I75),"")</f>
        <v/>
      </c>
      <c r="L75" s="33">
        <f>IFERROR(ABS(J75-H75)/K75,"")</f>
        <v/>
      </c>
      <c r="M75" s="4" t="n"/>
      <c r="N75" s="19">
        <f>IF(AND(K75&lt;&gt;"",M75&lt;&gt;""),K75*M75,"")</f>
        <v/>
      </c>
      <c r="O75" s="24">
        <f>IFERROR(N75/$B$3,"")</f>
        <v/>
      </c>
      <c r="P75" s="31" t="n"/>
      <c r="Q75" s="32" t="n"/>
      <c r="R75" s="4" t="n"/>
      <c r="S75" s="13" t="n"/>
      <c r="T75" s="33">
        <f>IFERROR(S75/N75,"")</f>
        <v/>
      </c>
      <c r="U75" s="4" t="n"/>
      <c r="V75" s="4" t="n"/>
      <c r="W75" s="4" t="n"/>
    </row>
    <row r="76">
      <c r="A76" s="30" t="n"/>
      <c r="B76" s="4" t="n"/>
      <c r="C76" s="4" t="n"/>
      <c r="D76" s="4" t="n"/>
      <c r="E76" s="4" t="n"/>
      <c r="F76" s="4" t="n"/>
      <c r="G76" s="31" t="n"/>
      <c r="H76" s="32" t="n"/>
      <c r="I76" s="32" t="n"/>
      <c r="J76" s="32" t="n"/>
      <c r="K76" s="20">
        <f>IF(AND(H76&lt;&gt;"",I76&lt;&gt;""),ABS(H76-I76),"")</f>
        <v/>
      </c>
      <c r="L76" s="33">
        <f>IFERROR(ABS(J76-H76)/K76,"")</f>
        <v/>
      </c>
      <c r="M76" s="4" t="n"/>
      <c r="N76" s="19">
        <f>IF(AND(K76&lt;&gt;"",M76&lt;&gt;""),K76*M76,"")</f>
        <v/>
      </c>
      <c r="O76" s="24">
        <f>IFERROR(N76/$B$3,"")</f>
        <v/>
      </c>
      <c r="P76" s="31" t="n"/>
      <c r="Q76" s="32" t="n"/>
      <c r="R76" s="4" t="n"/>
      <c r="S76" s="13" t="n"/>
      <c r="T76" s="33">
        <f>IFERROR(S76/N76,"")</f>
        <v/>
      </c>
      <c r="U76" s="4" t="n"/>
      <c r="V76" s="4" t="n"/>
      <c r="W76" s="4" t="n"/>
    </row>
    <row r="77">
      <c r="A77" s="30" t="n"/>
      <c r="B77" s="4" t="n"/>
      <c r="C77" s="4" t="n"/>
      <c r="D77" s="4" t="n"/>
      <c r="E77" s="4" t="n"/>
      <c r="F77" s="4" t="n"/>
      <c r="G77" s="31" t="n"/>
      <c r="H77" s="32" t="n"/>
      <c r="I77" s="32" t="n"/>
      <c r="J77" s="32" t="n"/>
      <c r="K77" s="20">
        <f>IF(AND(H77&lt;&gt;"",I77&lt;&gt;""),ABS(H77-I77),"")</f>
        <v/>
      </c>
      <c r="L77" s="33">
        <f>IFERROR(ABS(J77-H77)/K77,"")</f>
        <v/>
      </c>
      <c r="M77" s="4" t="n"/>
      <c r="N77" s="19">
        <f>IF(AND(K77&lt;&gt;"",M77&lt;&gt;""),K77*M77,"")</f>
        <v/>
      </c>
      <c r="O77" s="24">
        <f>IFERROR(N77/$B$3,"")</f>
        <v/>
      </c>
      <c r="P77" s="31" t="n"/>
      <c r="Q77" s="32" t="n"/>
      <c r="R77" s="4" t="n"/>
      <c r="S77" s="13" t="n"/>
      <c r="T77" s="33">
        <f>IFERROR(S77/N77,"")</f>
        <v/>
      </c>
      <c r="U77" s="4" t="n"/>
      <c r="V77" s="4" t="n"/>
      <c r="W77" s="4" t="n"/>
    </row>
    <row r="78">
      <c r="A78" s="30" t="n"/>
      <c r="B78" s="4" t="n"/>
      <c r="C78" s="4" t="n"/>
      <c r="D78" s="4" t="n"/>
      <c r="E78" s="4" t="n"/>
      <c r="F78" s="4" t="n"/>
      <c r="G78" s="31" t="n"/>
      <c r="H78" s="32" t="n"/>
      <c r="I78" s="32" t="n"/>
      <c r="J78" s="32" t="n"/>
      <c r="K78" s="20">
        <f>IF(AND(H78&lt;&gt;"",I78&lt;&gt;""),ABS(H78-I78),"")</f>
        <v/>
      </c>
      <c r="L78" s="33">
        <f>IFERROR(ABS(J78-H78)/K78,"")</f>
        <v/>
      </c>
      <c r="M78" s="4" t="n"/>
      <c r="N78" s="19">
        <f>IF(AND(K78&lt;&gt;"",M78&lt;&gt;""),K78*M78,"")</f>
        <v/>
      </c>
      <c r="O78" s="24">
        <f>IFERROR(N78/$B$3,"")</f>
        <v/>
      </c>
      <c r="P78" s="31" t="n"/>
      <c r="Q78" s="32" t="n"/>
      <c r="R78" s="4" t="n"/>
      <c r="S78" s="13" t="n"/>
      <c r="T78" s="33">
        <f>IFERROR(S78/N78,"")</f>
        <v/>
      </c>
      <c r="U78" s="4" t="n"/>
      <c r="V78" s="4" t="n"/>
      <c r="W78" s="4" t="n"/>
    </row>
    <row r="79">
      <c r="A79" s="30" t="n"/>
      <c r="B79" s="4" t="n"/>
      <c r="C79" s="4" t="n"/>
      <c r="D79" s="4" t="n"/>
      <c r="E79" s="4" t="n"/>
      <c r="F79" s="4" t="n"/>
      <c r="G79" s="31" t="n"/>
      <c r="H79" s="32" t="n"/>
      <c r="I79" s="32" t="n"/>
      <c r="J79" s="32" t="n"/>
      <c r="K79" s="20">
        <f>IF(AND(H79&lt;&gt;"",I79&lt;&gt;""),ABS(H79-I79),"")</f>
        <v/>
      </c>
      <c r="L79" s="33">
        <f>IFERROR(ABS(J79-H79)/K79,"")</f>
        <v/>
      </c>
      <c r="M79" s="4" t="n"/>
      <c r="N79" s="19">
        <f>IF(AND(K79&lt;&gt;"",M79&lt;&gt;""),K79*M79,"")</f>
        <v/>
      </c>
      <c r="O79" s="24">
        <f>IFERROR(N79/$B$3,"")</f>
        <v/>
      </c>
      <c r="P79" s="31" t="n"/>
      <c r="Q79" s="32" t="n"/>
      <c r="R79" s="4" t="n"/>
      <c r="S79" s="13" t="n"/>
      <c r="T79" s="33">
        <f>IFERROR(S79/N79,"")</f>
        <v/>
      </c>
      <c r="U79" s="4" t="n"/>
      <c r="V79" s="4" t="n"/>
      <c r="W79" s="4" t="n"/>
    </row>
    <row r="80">
      <c r="A80" s="30" t="n"/>
      <c r="B80" s="4" t="n"/>
      <c r="C80" s="4" t="n"/>
      <c r="D80" s="4" t="n"/>
      <c r="E80" s="4" t="n"/>
      <c r="F80" s="4" t="n"/>
      <c r="G80" s="31" t="n"/>
      <c r="H80" s="32" t="n"/>
      <c r="I80" s="32" t="n"/>
      <c r="J80" s="32" t="n"/>
      <c r="K80" s="20">
        <f>IF(AND(H80&lt;&gt;"",I80&lt;&gt;""),ABS(H80-I80),"")</f>
        <v/>
      </c>
      <c r="L80" s="33">
        <f>IFERROR(ABS(J80-H80)/K80,"")</f>
        <v/>
      </c>
      <c r="M80" s="4" t="n"/>
      <c r="N80" s="19">
        <f>IF(AND(K80&lt;&gt;"",M80&lt;&gt;""),K80*M80,"")</f>
        <v/>
      </c>
      <c r="O80" s="24">
        <f>IFERROR(N80/$B$3,"")</f>
        <v/>
      </c>
      <c r="P80" s="31" t="n"/>
      <c r="Q80" s="32" t="n"/>
      <c r="R80" s="4" t="n"/>
      <c r="S80" s="13" t="n"/>
      <c r="T80" s="33">
        <f>IFERROR(S80/N80,"")</f>
        <v/>
      </c>
      <c r="U80" s="4" t="n"/>
      <c r="V80" s="4" t="n"/>
      <c r="W80" s="4" t="n"/>
    </row>
    <row r="81">
      <c r="A81" s="30" t="n"/>
      <c r="B81" s="4" t="n"/>
      <c r="C81" s="4" t="n"/>
      <c r="D81" s="4" t="n"/>
      <c r="E81" s="4" t="n"/>
      <c r="F81" s="4" t="n"/>
      <c r="G81" s="31" t="n"/>
      <c r="H81" s="32" t="n"/>
      <c r="I81" s="32" t="n"/>
      <c r="J81" s="32" t="n"/>
      <c r="K81" s="20">
        <f>IF(AND(H81&lt;&gt;"",I81&lt;&gt;""),ABS(H81-I81),"")</f>
        <v/>
      </c>
      <c r="L81" s="33">
        <f>IFERROR(ABS(J81-H81)/K81,"")</f>
        <v/>
      </c>
      <c r="M81" s="4" t="n"/>
      <c r="N81" s="19">
        <f>IF(AND(K81&lt;&gt;"",M81&lt;&gt;""),K81*M81,"")</f>
        <v/>
      </c>
      <c r="O81" s="24">
        <f>IFERROR(N81/$B$3,"")</f>
        <v/>
      </c>
      <c r="P81" s="31" t="n"/>
      <c r="Q81" s="32" t="n"/>
      <c r="R81" s="4" t="n"/>
      <c r="S81" s="13" t="n"/>
      <c r="T81" s="33">
        <f>IFERROR(S81/N81,"")</f>
        <v/>
      </c>
      <c r="U81" s="4" t="n"/>
      <c r="V81" s="4" t="n"/>
      <c r="W81" s="4" t="n"/>
    </row>
    <row r="82">
      <c r="A82" s="30" t="n"/>
      <c r="B82" s="4" t="n"/>
      <c r="C82" s="4" t="n"/>
      <c r="D82" s="4" t="n"/>
      <c r="E82" s="4" t="n"/>
      <c r="F82" s="4" t="n"/>
      <c r="G82" s="31" t="n"/>
      <c r="H82" s="32" t="n"/>
      <c r="I82" s="32" t="n"/>
      <c r="J82" s="32" t="n"/>
      <c r="K82" s="20">
        <f>IF(AND(H82&lt;&gt;"",I82&lt;&gt;""),ABS(H82-I82),"")</f>
        <v/>
      </c>
      <c r="L82" s="33">
        <f>IFERROR(ABS(J82-H82)/K82,"")</f>
        <v/>
      </c>
      <c r="M82" s="4" t="n"/>
      <c r="N82" s="19">
        <f>IF(AND(K82&lt;&gt;"",M82&lt;&gt;""),K82*M82,"")</f>
        <v/>
      </c>
      <c r="O82" s="24">
        <f>IFERROR(N82/$B$3,"")</f>
        <v/>
      </c>
      <c r="P82" s="31" t="n"/>
      <c r="Q82" s="32" t="n"/>
      <c r="R82" s="4" t="n"/>
      <c r="S82" s="13" t="n"/>
      <c r="T82" s="33">
        <f>IFERROR(S82/N82,"")</f>
        <v/>
      </c>
      <c r="U82" s="4" t="n"/>
      <c r="V82" s="4" t="n"/>
      <c r="W82" s="4" t="n"/>
    </row>
    <row r="83">
      <c r="A83" s="30" t="n"/>
      <c r="B83" s="4" t="n"/>
      <c r="C83" s="4" t="n"/>
      <c r="D83" s="4" t="n"/>
      <c r="E83" s="4" t="n"/>
      <c r="F83" s="4" t="n"/>
      <c r="G83" s="31" t="n"/>
      <c r="H83" s="32" t="n"/>
      <c r="I83" s="32" t="n"/>
      <c r="J83" s="32" t="n"/>
      <c r="K83" s="20">
        <f>IF(AND(H83&lt;&gt;"",I83&lt;&gt;""),ABS(H83-I83),"")</f>
        <v/>
      </c>
      <c r="L83" s="33">
        <f>IFERROR(ABS(J83-H83)/K83,"")</f>
        <v/>
      </c>
      <c r="M83" s="4" t="n"/>
      <c r="N83" s="19">
        <f>IF(AND(K83&lt;&gt;"",M83&lt;&gt;""),K83*M83,"")</f>
        <v/>
      </c>
      <c r="O83" s="24">
        <f>IFERROR(N83/$B$3,"")</f>
        <v/>
      </c>
      <c r="P83" s="31" t="n"/>
      <c r="Q83" s="32" t="n"/>
      <c r="R83" s="4" t="n"/>
      <c r="S83" s="13" t="n"/>
      <c r="T83" s="33">
        <f>IFERROR(S83/N83,"")</f>
        <v/>
      </c>
      <c r="U83" s="4" t="n"/>
      <c r="V83" s="4" t="n"/>
      <c r="W83" s="4" t="n"/>
    </row>
    <row r="84">
      <c r="A84" s="30" t="n"/>
      <c r="B84" s="4" t="n"/>
      <c r="C84" s="4" t="n"/>
      <c r="D84" s="4" t="n"/>
      <c r="E84" s="4" t="n"/>
      <c r="F84" s="4" t="n"/>
      <c r="G84" s="31" t="n"/>
      <c r="H84" s="32" t="n"/>
      <c r="I84" s="32" t="n"/>
      <c r="J84" s="32" t="n"/>
      <c r="K84" s="20">
        <f>IF(AND(H84&lt;&gt;"",I84&lt;&gt;""),ABS(H84-I84),"")</f>
        <v/>
      </c>
      <c r="L84" s="33">
        <f>IFERROR(ABS(J84-H84)/K84,"")</f>
        <v/>
      </c>
      <c r="M84" s="4" t="n"/>
      <c r="N84" s="19">
        <f>IF(AND(K84&lt;&gt;"",M84&lt;&gt;""),K84*M84,"")</f>
        <v/>
      </c>
      <c r="O84" s="24">
        <f>IFERROR(N84/$B$3,"")</f>
        <v/>
      </c>
      <c r="P84" s="31" t="n"/>
      <c r="Q84" s="32" t="n"/>
      <c r="R84" s="4" t="n"/>
      <c r="S84" s="13" t="n"/>
      <c r="T84" s="33">
        <f>IFERROR(S84/N84,"")</f>
        <v/>
      </c>
      <c r="U84" s="4" t="n"/>
      <c r="V84" s="4" t="n"/>
      <c r="W84" s="4" t="n"/>
    </row>
    <row r="85">
      <c r="A85" s="30" t="n"/>
      <c r="B85" s="4" t="n"/>
      <c r="C85" s="4" t="n"/>
      <c r="D85" s="4" t="n"/>
      <c r="E85" s="4" t="n"/>
      <c r="F85" s="4" t="n"/>
      <c r="G85" s="31" t="n"/>
      <c r="H85" s="32" t="n"/>
      <c r="I85" s="32" t="n"/>
      <c r="J85" s="32" t="n"/>
      <c r="K85" s="20">
        <f>IF(AND(H85&lt;&gt;"",I85&lt;&gt;""),ABS(H85-I85),"")</f>
        <v/>
      </c>
      <c r="L85" s="33">
        <f>IFERROR(ABS(J85-H85)/K85,"")</f>
        <v/>
      </c>
      <c r="M85" s="4" t="n"/>
      <c r="N85" s="19">
        <f>IF(AND(K85&lt;&gt;"",M85&lt;&gt;""),K85*M85,"")</f>
        <v/>
      </c>
      <c r="O85" s="24">
        <f>IFERROR(N85/$B$3,"")</f>
        <v/>
      </c>
      <c r="P85" s="31" t="n"/>
      <c r="Q85" s="32" t="n"/>
      <c r="R85" s="4" t="n"/>
      <c r="S85" s="13" t="n"/>
      <c r="T85" s="33">
        <f>IFERROR(S85/N85,"")</f>
        <v/>
      </c>
      <c r="U85" s="4" t="n"/>
      <c r="V85" s="4" t="n"/>
      <c r="W85" s="4" t="n"/>
    </row>
    <row r="86">
      <c r="A86" s="30" t="n"/>
      <c r="B86" s="4" t="n"/>
      <c r="C86" s="4" t="n"/>
      <c r="D86" s="4" t="n"/>
      <c r="E86" s="4" t="n"/>
      <c r="F86" s="4" t="n"/>
      <c r="G86" s="31" t="n"/>
      <c r="H86" s="32" t="n"/>
      <c r="I86" s="32" t="n"/>
      <c r="J86" s="32" t="n"/>
      <c r="K86" s="20">
        <f>IF(AND(H86&lt;&gt;"",I86&lt;&gt;""),ABS(H86-I86),"")</f>
        <v/>
      </c>
      <c r="L86" s="33">
        <f>IFERROR(ABS(J86-H86)/K86,"")</f>
        <v/>
      </c>
      <c r="M86" s="4" t="n"/>
      <c r="N86" s="19">
        <f>IF(AND(K86&lt;&gt;"",M86&lt;&gt;""),K86*M86,"")</f>
        <v/>
      </c>
      <c r="O86" s="24">
        <f>IFERROR(N86/$B$3,"")</f>
        <v/>
      </c>
      <c r="P86" s="31" t="n"/>
      <c r="Q86" s="32" t="n"/>
      <c r="R86" s="4" t="n"/>
      <c r="S86" s="13" t="n"/>
      <c r="T86" s="33">
        <f>IFERROR(S86/N86,"")</f>
        <v/>
      </c>
      <c r="U86" s="4" t="n"/>
      <c r="V86" s="4" t="n"/>
      <c r="W86" s="4" t="n"/>
    </row>
    <row r="87">
      <c r="A87" s="30" t="n"/>
      <c r="B87" s="4" t="n"/>
      <c r="C87" s="4" t="n"/>
      <c r="D87" s="4" t="n"/>
      <c r="E87" s="4" t="n"/>
      <c r="F87" s="4" t="n"/>
      <c r="G87" s="31" t="n"/>
      <c r="H87" s="32" t="n"/>
      <c r="I87" s="32" t="n"/>
      <c r="J87" s="32" t="n"/>
      <c r="K87" s="20">
        <f>IF(AND(H87&lt;&gt;"",I87&lt;&gt;""),ABS(H87-I87),"")</f>
        <v/>
      </c>
      <c r="L87" s="33">
        <f>IFERROR(ABS(J87-H87)/K87,"")</f>
        <v/>
      </c>
      <c r="M87" s="4" t="n"/>
      <c r="N87" s="19">
        <f>IF(AND(K87&lt;&gt;"",M87&lt;&gt;""),K87*M87,"")</f>
        <v/>
      </c>
      <c r="O87" s="24">
        <f>IFERROR(N87/$B$3,"")</f>
        <v/>
      </c>
      <c r="P87" s="31" t="n"/>
      <c r="Q87" s="32" t="n"/>
      <c r="R87" s="4" t="n"/>
      <c r="S87" s="13" t="n"/>
      <c r="T87" s="33">
        <f>IFERROR(S87/N87,"")</f>
        <v/>
      </c>
      <c r="U87" s="4" t="n"/>
      <c r="V87" s="4" t="n"/>
      <c r="W87" s="4" t="n"/>
    </row>
    <row r="88">
      <c r="A88" s="30" t="n"/>
      <c r="B88" s="4" t="n"/>
      <c r="C88" s="4" t="n"/>
      <c r="D88" s="4" t="n"/>
      <c r="E88" s="4" t="n"/>
      <c r="F88" s="4" t="n"/>
      <c r="G88" s="31" t="n"/>
      <c r="H88" s="32" t="n"/>
      <c r="I88" s="32" t="n"/>
      <c r="J88" s="32" t="n"/>
      <c r="K88" s="20">
        <f>IF(AND(H88&lt;&gt;"",I88&lt;&gt;""),ABS(H88-I88),"")</f>
        <v/>
      </c>
      <c r="L88" s="33">
        <f>IFERROR(ABS(J88-H88)/K88,"")</f>
        <v/>
      </c>
      <c r="M88" s="4" t="n"/>
      <c r="N88" s="19">
        <f>IF(AND(K88&lt;&gt;"",M88&lt;&gt;""),K88*M88,"")</f>
        <v/>
      </c>
      <c r="O88" s="24">
        <f>IFERROR(N88/$B$3,"")</f>
        <v/>
      </c>
      <c r="P88" s="31" t="n"/>
      <c r="Q88" s="32" t="n"/>
      <c r="R88" s="4" t="n"/>
      <c r="S88" s="13" t="n"/>
      <c r="T88" s="33">
        <f>IFERROR(S88/N88,"")</f>
        <v/>
      </c>
      <c r="U88" s="4" t="n"/>
      <c r="V88" s="4" t="n"/>
      <c r="W88" s="4" t="n"/>
    </row>
    <row r="89">
      <c r="A89" s="30" t="n"/>
      <c r="B89" s="4" t="n"/>
      <c r="C89" s="4" t="n"/>
      <c r="D89" s="4" t="n"/>
      <c r="E89" s="4" t="n"/>
      <c r="F89" s="4" t="n"/>
      <c r="G89" s="31" t="n"/>
      <c r="H89" s="32" t="n"/>
      <c r="I89" s="32" t="n"/>
      <c r="J89" s="32" t="n"/>
      <c r="K89" s="20">
        <f>IF(AND(H89&lt;&gt;"",I89&lt;&gt;""),ABS(H89-I89),"")</f>
        <v/>
      </c>
      <c r="L89" s="33">
        <f>IFERROR(ABS(J89-H89)/K89,"")</f>
        <v/>
      </c>
      <c r="M89" s="4" t="n"/>
      <c r="N89" s="19">
        <f>IF(AND(K89&lt;&gt;"",M89&lt;&gt;""),K89*M89,"")</f>
        <v/>
      </c>
      <c r="O89" s="24">
        <f>IFERROR(N89/$B$3,"")</f>
        <v/>
      </c>
      <c r="P89" s="31" t="n"/>
      <c r="Q89" s="32" t="n"/>
      <c r="R89" s="4" t="n"/>
      <c r="S89" s="13" t="n"/>
      <c r="T89" s="33">
        <f>IFERROR(S89/N89,"")</f>
        <v/>
      </c>
      <c r="U89" s="4" t="n"/>
      <c r="V89" s="4" t="n"/>
      <c r="W89" s="4" t="n"/>
    </row>
    <row r="90">
      <c r="A90" s="30" t="n"/>
      <c r="B90" s="4" t="n"/>
      <c r="C90" s="4" t="n"/>
      <c r="D90" s="4" t="n"/>
      <c r="E90" s="4" t="n"/>
      <c r="F90" s="4" t="n"/>
      <c r="G90" s="31" t="n"/>
      <c r="H90" s="32" t="n"/>
      <c r="I90" s="32" t="n"/>
      <c r="J90" s="32" t="n"/>
      <c r="K90" s="20">
        <f>IF(AND(H90&lt;&gt;"",I90&lt;&gt;""),ABS(H90-I90),"")</f>
        <v/>
      </c>
      <c r="L90" s="33">
        <f>IFERROR(ABS(J90-H90)/K90,"")</f>
        <v/>
      </c>
      <c r="M90" s="4" t="n"/>
      <c r="N90" s="19">
        <f>IF(AND(K90&lt;&gt;"",M90&lt;&gt;""),K90*M90,"")</f>
        <v/>
      </c>
      <c r="O90" s="24">
        <f>IFERROR(N90/$B$3,"")</f>
        <v/>
      </c>
      <c r="P90" s="31" t="n"/>
      <c r="Q90" s="32" t="n"/>
      <c r="R90" s="4" t="n"/>
      <c r="S90" s="13" t="n"/>
      <c r="T90" s="33">
        <f>IFERROR(S90/N90,"")</f>
        <v/>
      </c>
      <c r="U90" s="4" t="n"/>
      <c r="V90" s="4" t="n"/>
      <c r="W90" s="4" t="n"/>
    </row>
    <row r="91">
      <c r="A91" s="30" t="n"/>
      <c r="B91" s="4" t="n"/>
      <c r="C91" s="4" t="n"/>
      <c r="D91" s="4" t="n"/>
      <c r="E91" s="4" t="n"/>
      <c r="F91" s="4" t="n"/>
      <c r="G91" s="31" t="n"/>
      <c r="H91" s="32" t="n"/>
      <c r="I91" s="32" t="n"/>
      <c r="J91" s="32" t="n"/>
      <c r="K91" s="20">
        <f>IF(AND(H91&lt;&gt;"",I91&lt;&gt;""),ABS(H91-I91),"")</f>
        <v/>
      </c>
      <c r="L91" s="33">
        <f>IFERROR(ABS(J91-H91)/K91,"")</f>
        <v/>
      </c>
      <c r="M91" s="4" t="n"/>
      <c r="N91" s="19">
        <f>IF(AND(K91&lt;&gt;"",M91&lt;&gt;""),K91*M91,"")</f>
        <v/>
      </c>
      <c r="O91" s="24">
        <f>IFERROR(N91/$B$3,"")</f>
        <v/>
      </c>
      <c r="P91" s="31" t="n"/>
      <c r="Q91" s="32" t="n"/>
      <c r="R91" s="4" t="n"/>
      <c r="S91" s="13" t="n"/>
      <c r="T91" s="33">
        <f>IFERROR(S91/N91,"")</f>
        <v/>
      </c>
      <c r="U91" s="4" t="n"/>
      <c r="V91" s="4" t="n"/>
      <c r="W91" s="4" t="n"/>
    </row>
    <row r="92">
      <c r="A92" s="30" t="n"/>
      <c r="B92" s="4" t="n"/>
      <c r="C92" s="4" t="n"/>
      <c r="D92" s="4" t="n"/>
      <c r="E92" s="4" t="n"/>
      <c r="F92" s="4" t="n"/>
      <c r="G92" s="31" t="n"/>
      <c r="H92" s="32" t="n"/>
      <c r="I92" s="32" t="n"/>
      <c r="J92" s="32" t="n"/>
      <c r="K92" s="20">
        <f>IF(AND(H92&lt;&gt;"",I92&lt;&gt;""),ABS(H92-I92),"")</f>
        <v/>
      </c>
      <c r="L92" s="33">
        <f>IFERROR(ABS(J92-H92)/K92,"")</f>
        <v/>
      </c>
      <c r="M92" s="4" t="n"/>
      <c r="N92" s="19">
        <f>IF(AND(K92&lt;&gt;"",M92&lt;&gt;""),K92*M92,"")</f>
        <v/>
      </c>
      <c r="O92" s="24">
        <f>IFERROR(N92/$B$3,"")</f>
        <v/>
      </c>
      <c r="P92" s="31" t="n"/>
      <c r="Q92" s="32" t="n"/>
      <c r="R92" s="4" t="n"/>
      <c r="S92" s="13" t="n"/>
      <c r="T92" s="33">
        <f>IFERROR(S92/N92,"")</f>
        <v/>
      </c>
      <c r="U92" s="4" t="n"/>
      <c r="V92" s="4" t="n"/>
      <c r="W92" s="4" t="n"/>
    </row>
    <row r="93">
      <c r="A93" s="30" t="n"/>
      <c r="B93" s="4" t="n"/>
      <c r="C93" s="4" t="n"/>
      <c r="D93" s="4" t="n"/>
      <c r="E93" s="4" t="n"/>
      <c r="F93" s="4" t="n"/>
      <c r="G93" s="31" t="n"/>
      <c r="H93" s="32" t="n"/>
      <c r="I93" s="32" t="n"/>
      <c r="J93" s="32" t="n"/>
      <c r="K93" s="20">
        <f>IF(AND(H93&lt;&gt;"",I93&lt;&gt;""),ABS(H93-I93),"")</f>
        <v/>
      </c>
      <c r="L93" s="33">
        <f>IFERROR(ABS(J93-H93)/K93,"")</f>
        <v/>
      </c>
      <c r="M93" s="4" t="n"/>
      <c r="N93" s="19">
        <f>IF(AND(K93&lt;&gt;"",M93&lt;&gt;""),K93*M93,"")</f>
        <v/>
      </c>
      <c r="O93" s="24">
        <f>IFERROR(N93/$B$3,"")</f>
        <v/>
      </c>
      <c r="P93" s="31" t="n"/>
      <c r="Q93" s="32" t="n"/>
      <c r="R93" s="4" t="n"/>
      <c r="S93" s="13" t="n"/>
      <c r="T93" s="33">
        <f>IFERROR(S93/N93,"")</f>
        <v/>
      </c>
      <c r="U93" s="4" t="n"/>
      <c r="V93" s="4" t="n"/>
      <c r="W93" s="4" t="n"/>
    </row>
    <row r="94">
      <c r="A94" s="30" t="n"/>
      <c r="B94" s="4" t="n"/>
      <c r="C94" s="4" t="n"/>
      <c r="D94" s="4" t="n"/>
      <c r="E94" s="4" t="n"/>
      <c r="F94" s="4" t="n"/>
      <c r="G94" s="31" t="n"/>
      <c r="H94" s="32" t="n"/>
      <c r="I94" s="32" t="n"/>
      <c r="J94" s="32" t="n"/>
      <c r="K94" s="20">
        <f>IF(AND(H94&lt;&gt;"",I94&lt;&gt;""),ABS(H94-I94),"")</f>
        <v/>
      </c>
      <c r="L94" s="33">
        <f>IFERROR(ABS(J94-H94)/K94,"")</f>
        <v/>
      </c>
      <c r="M94" s="4" t="n"/>
      <c r="N94" s="19">
        <f>IF(AND(K94&lt;&gt;"",M94&lt;&gt;""),K94*M94,"")</f>
        <v/>
      </c>
      <c r="O94" s="24">
        <f>IFERROR(N94/$B$3,"")</f>
        <v/>
      </c>
      <c r="P94" s="31" t="n"/>
      <c r="Q94" s="32" t="n"/>
      <c r="R94" s="4" t="n"/>
      <c r="S94" s="13" t="n"/>
      <c r="T94" s="33">
        <f>IFERROR(S94/N94,"")</f>
        <v/>
      </c>
      <c r="U94" s="4" t="n"/>
      <c r="V94" s="4" t="n"/>
      <c r="W94" s="4" t="n"/>
    </row>
    <row r="95">
      <c r="A95" s="30" t="n"/>
      <c r="B95" s="4" t="n"/>
      <c r="C95" s="4" t="n"/>
      <c r="D95" s="4" t="n"/>
      <c r="E95" s="4" t="n"/>
      <c r="F95" s="4" t="n"/>
      <c r="G95" s="31" t="n"/>
      <c r="H95" s="32" t="n"/>
      <c r="I95" s="32" t="n"/>
      <c r="J95" s="32" t="n"/>
      <c r="K95" s="20">
        <f>IF(AND(H95&lt;&gt;"",I95&lt;&gt;""),ABS(H95-I95),"")</f>
        <v/>
      </c>
      <c r="L95" s="33">
        <f>IFERROR(ABS(J95-H95)/K95,"")</f>
        <v/>
      </c>
      <c r="M95" s="4" t="n"/>
      <c r="N95" s="19">
        <f>IF(AND(K95&lt;&gt;"",M95&lt;&gt;""),K95*M95,"")</f>
        <v/>
      </c>
      <c r="O95" s="24">
        <f>IFERROR(N95/$B$3,"")</f>
        <v/>
      </c>
      <c r="P95" s="31" t="n"/>
      <c r="Q95" s="32" t="n"/>
      <c r="R95" s="4" t="n"/>
      <c r="S95" s="13" t="n"/>
      <c r="T95" s="33">
        <f>IFERROR(S95/N95,"")</f>
        <v/>
      </c>
      <c r="U95" s="4" t="n"/>
      <c r="V95" s="4" t="n"/>
      <c r="W95" s="4" t="n"/>
    </row>
    <row r="96">
      <c r="A96" s="30" t="n"/>
      <c r="B96" s="4" t="n"/>
      <c r="C96" s="4" t="n"/>
      <c r="D96" s="4" t="n"/>
      <c r="E96" s="4" t="n"/>
      <c r="F96" s="4" t="n"/>
      <c r="G96" s="31" t="n"/>
      <c r="H96" s="32" t="n"/>
      <c r="I96" s="32" t="n"/>
      <c r="J96" s="32" t="n"/>
      <c r="K96" s="20">
        <f>IF(AND(H96&lt;&gt;"",I96&lt;&gt;""),ABS(H96-I96),"")</f>
        <v/>
      </c>
      <c r="L96" s="33">
        <f>IFERROR(ABS(J96-H96)/K96,"")</f>
        <v/>
      </c>
      <c r="M96" s="4" t="n"/>
      <c r="N96" s="19">
        <f>IF(AND(K96&lt;&gt;"",M96&lt;&gt;""),K96*M96,"")</f>
        <v/>
      </c>
      <c r="O96" s="24">
        <f>IFERROR(N96/$B$3,"")</f>
        <v/>
      </c>
      <c r="P96" s="31" t="n"/>
      <c r="Q96" s="32" t="n"/>
      <c r="R96" s="4" t="n"/>
      <c r="S96" s="13" t="n"/>
      <c r="T96" s="33">
        <f>IFERROR(S96/N96,"")</f>
        <v/>
      </c>
      <c r="U96" s="4" t="n"/>
      <c r="V96" s="4" t="n"/>
      <c r="W96" s="4" t="n"/>
    </row>
    <row r="97">
      <c r="A97" s="30" t="n"/>
      <c r="B97" s="4" t="n"/>
      <c r="C97" s="4" t="n"/>
      <c r="D97" s="4" t="n"/>
      <c r="E97" s="4" t="n"/>
      <c r="F97" s="4" t="n"/>
      <c r="G97" s="31" t="n"/>
      <c r="H97" s="32" t="n"/>
      <c r="I97" s="32" t="n"/>
      <c r="J97" s="32" t="n"/>
      <c r="K97" s="20">
        <f>IF(AND(H97&lt;&gt;"",I97&lt;&gt;""),ABS(H97-I97),"")</f>
        <v/>
      </c>
      <c r="L97" s="33">
        <f>IFERROR(ABS(J97-H97)/K97,"")</f>
        <v/>
      </c>
      <c r="M97" s="4" t="n"/>
      <c r="N97" s="19">
        <f>IF(AND(K97&lt;&gt;"",M97&lt;&gt;""),K97*M97,"")</f>
        <v/>
      </c>
      <c r="O97" s="24">
        <f>IFERROR(N97/$B$3,"")</f>
        <v/>
      </c>
      <c r="P97" s="31" t="n"/>
      <c r="Q97" s="32" t="n"/>
      <c r="R97" s="4" t="n"/>
      <c r="S97" s="13" t="n"/>
      <c r="T97" s="33">
        <f>IFERROR(S97/N97,"")</f>
        <v/>
      </c>
      <c r="U97" s="4" t="n"/>
      <c r="V97" s="4" t="n"/>
      <c r="W97" s="4" t="n"/>
    </row>
    <row r="98">
      <c r="A98" s="30" t="n"/>
      <c r="B98" s="4" t="n"/>
      <c r="C98" s="4" t="n"/>
      <c r="D98" s="4" t="n"/>
      <c r="E98" s="4" t="n"/>
      <c r="F98" s="4" t="n"/>
      <c r="G98" s="31" t="n"/>
      <c r="H98" s="32" t="n"/>
      <c r="I98" s="32" t="n"/>
      <c r="J98" s="32" t="n"/>
      <c r="K98" s="20">
        <f>IF(AND(H98&lt;&gt;"",I98&lt;&gt;""),ABS(H98-I98),"")</f>
        <v/>
      </c>
      <c r="L98" s="33">
        <f>IFERROR(ABS(J98-H98)/K98,"")</f>
        <v/>
      </c>
      <c r="M98" s="4" t="n"/>
      <c r="N98" s="19">
        <f>IF(AND(K98&lt;&gt;"",M98&lt;&gt;""),K98*M98,"")</f>
        <v/>
      </c>
      <c r="O98" s="24">
        <f>IFERROR(N98/$B$3,"")</f>
        <v/>
      </c>
      <c r="P98" s="31" t="n"/>
      <c r="Q98" s="32" t="n"/>
      <c r="R98" s="4" t="n"/>
      <c r="S98" s="13" t="n"/>
      <c r="T98" s="33">
        <f>IFERROR(S98/N98,"")</f>
        <v/>
      </c>
      <c r="U98" s="4" t="n"/>
      <c r="V98" s="4" t="n"/>
      <c r="W98" s="4" t="n"/>
    </row>
    <row r="99">
      <c r="A99" s="30" t="n"/>
      <c r="B99" s="4" t="n"/>
      <c r="C99" s="4" t="n"/>
      <c r="D99" s="4" t="n"/>
      <c r="E99" s="4" t="n"/>
      <c r="F99" s="4" t="n"/>
      <c r="G99" s="31" t="n"/>
      <c r="H99" s="32" t="n"/>
      <c r="I99" s="32" t="n"/>
      <c r="J99" s="32" t="n"/>
      <c r="K99" s="20">
        <f>IF(AND(H99&lt;&gt;"",I99&lt;&gt;""),ABS(H99-I99),"")</f>
        <v/>
      </c>
      <c r="L99" s="33">
        <f>IFERROR(ABS(J99-H99)/K99,"")</f>
        <v/>
      </c>
      <c r="M99" s="4" t="n"/>
      <c r="N99" s="19">
        <f>IF(AND(K99&lt;&gt;"",M99&lt;&gt;""),K99*M99,"")</f>
        <v/>
      </c>
      <c r="O99" s="24">
        <f>IFERROR(N99/$B$3,"")</f>
        <v/>
      </c>
      <c r="P99" s="31" t="n"/>
      <c r="Q99" s="32" t="n"/>
      <c r="R99" s="4" t="n"/>
      <c r="S99" s="13" t="n"/>
      <c r="T99" s="33">
        <f>IFERROR(S99/N99,"")</f>
        <v/>
      </c>
      <c r="U99" s="4" t="n"/>
      <c r="V99" s="4" t="n"/>
      <c r="W99" s="4" t="n"/>
    </row>
    <row r="100">
      <c r="A100" s="30" t="n"/>
      <c r="B100" s="4" t="n"/>
      <c r="C100" s="4" t="n"/>
      <c r="D100" s="4" t="n"/>
      <c r="E100" s="4" t="n"/>
      <c r="F100" s="4" t="n"/>
      <c r="G100" s="31" t="n"/>
      <c r="H100" s="32" t="n"/>
      <c r="I100" s="32" t="n"/>
      <c r="J100" s="32" t="n"/>
      <c r="K100" s="20">
        <f>IF(AND(H100&lt;&gt;"",I100&lt;&gt;""),ABS(H100-I100),"")</f>
        <v/>
      </c>
      <c r="L100" s="33">
        <f>IFERROR(ABS(J100-H100)/K100,"")</f>
        <v/>
      </c>
      <c r="M100" s="4" t="n"/>
      <c r="N100" s="19">
        <f>IF(AND(K100&lt;&gt;"",M100&lt;&gt;""),K100*M100,"")</f>
        <v/>
      </c>
      <c r="O100" s="24">
        <f>IFERROR(N100/$B$3,"")</f>
        <v/>
      </c>
      <c r="P100" s="31" t="n"/>
      <c r="Q100" s="32" t="n"/>
      <c r="R100" s="4" t="n"/>
      <c r="S100" s="13" t="n"/>
      <c r="T100" s="33">
        <f>IFERROR(S100/N100,"")</f>
        <v/>
      </c>
      <c r="U100" s="4" t="n"/>
      <c r="V100" s="4" t="n"/>
      <c r="W100" s="4" t="n"/>
    </row>
    <row r="101">
      <c r="A101" s="30" t="n"/>
      <c r="B101" s="4" t="n"/>
      <c r="C101" s="4" t="n"/>
      <c r="D101" s="4" t="n"/>
      <c r="E101" s="4" t="n"/>
      <c r="F101" s="4" t="n"/>
      <c r="G101" s="31" t="n"/>
      <c r="H101" s="32" t="n"/>
      <c r="I101" s="32" t="n"/>
      <c r="J101" s="32" t="n"/>
      <c r="K101" s="20">
        <f>IF(AND(H101&lt;&gt;"",I101&lt;&gt;""),ABS(H101-I101),"")</f>
        <v/>
      </c>
      <c r="L101" s="33">
        <f>IFERROR(ABS(J101-H101)/K101,"")</f>
        <v/>
      </c>
      <c r="M101" s="4" t="n"/>
      <c r="N101" s="19">
        <f>IF(AND(K101&lt;&gt;"",M101&lt;&gt;""),K101*M101,"")</f>
        <v/>
      </c>
      <c r="O101" s="24">
        <f>IFERROR(N101/$B$3,"")</f>
        <v/>
      </c>
      <c r="P101" s="31" t="n"/>
      <c r="Q101" s="32" t="n"/>
      <c r="R101" s="4" t="n"/>
      <c r="S101" s="13" t="n"/>
      <c r="T101" s="33">
        <f>IFERROR(S101/N101,"")</f>
        <v/>
      </c>
      <c r="U101" s="4" t="n"/>
      <c r="V101" s="4" t="n"/>
      <c r="W101" s="4" t="n"/>
    </row>
    <row r="102">
      <c r="A102" s="30" t="n"/>
      <c r="B102" s="4" t="n"/>
      <c r="C102" s="4" t="n"/>
      <c r="D102" s="4" t="n"/>
      <c r="E102" s="4" t="n"/>
      <c r="F102" s="4" t="n"/>
      <c r="G102" s="31" t="n"/>
      <c r="H102" s="32" t="n"/>
      <c r="I102" s="32" t="n"/>
      <c r="J102" s="32" t="n"/>
      <c r="K102" s="20">
        <f>IF(AND(H102&lt;&gt;"",I102&lt;&gt;""),ABS(H102-I102),"")</f>
        <v/>
      </c>
      <c r="L102" s="33">
        <f>IFERROR(ABS(J102-H102)/K102,"")</f>
        <v/>
      </c>
      <c r="M102" s="4" t="n"/>
      <c r="N102" s="19">
        <f>IF(AND(K102&lt;&gt;"",M102&lt;&gt;""),K102*M102,"")</f>
        <v/>
      </c>
      <c r="O102" s="24">
        <f>IFERROR(N102/$B$3,"")</f>
        <v/>
      </c>
      <c r="P102" s="31" t="n"/>
      <c r="Q102" s="32" t="n"/>
      <c r="R102" s="4" t="n"/>
      <c r="S102" s="13" t="n"/>
      <c r="T102" s="33">
        <f>IFERROR(S102/N102,"")</f>
        <v/>
      </c>
      <c r="U102" s="4" t="n"/>
      <c r="V102" s="4" t="n"/>
      <c r="W102" s="4" t="n"/>
    </row>
    <row r="103">
      <c r="A103" s="30" t="n"/>
      <c r="B103" s="4" t="n"/>
      <c r="C103" s="4" t="n"/>
      <c r="D103" s="4" t="n"/>
      <c r="E103" s="4" t="n"/>
      <c r="F103" s="4" t="n"/>
      <c r="G103" s="31" t="n"/>
      <c r="H103" s="32" t="n"/>
      <c r="I103" s="32" t="n"/>
      <c r="J103" s="32" t="n"/>
      <c r="K103" s="20">
        <f>IF(AND(H103&lt;&gt;"",I103&lt;&gt;""),ABS(H103-I103),"")</f>
        <v/>
      </c>
      <c r="L103" s="33">
        <f>IFERROR(ABS(J103-H103)/K103,"")</f>
        <v/>
      </c>
      <c r="M103" s="4" t="n"/>
      <c r="N103" s="19">
        <f>IF(AND(K103&lt;&gt;"",M103&lt;&gt;""),K103*M103,"")</f>
        <v/>
      </c>
      <c r="O103" s="24">
        <f>IFERROR(N103/$B$3,"")</f>
        <v/>
      </c>
      <c r="P103" s="31" t="n"/>
      <c r="Q103" s="32" t="n"/>
      <c r="R103" s="4" t="n"/>
      <c r="S103" s="13" t="n"/>
      <c r="T103" s="33">
        <f>IFERROR(S103/N103,"")</f>
        <v/>
      </c>
      <c r="U103" s="4" t="n"/>
      <c r="V103" s="4" t="n"/>
      <c r="W103" s="4" t="n"/>
    </row>
    <row r="104">
      <c r="A104" s="30" t="n"/>
      <c r="B104" s="4" t="n"/>
      <c r="C104" s="4" t="n"/>
      <c r="D104" s="4" t="n"/>
      <c r="E104" s="4" t="n"/>
      <c r="F104" s="4" t="n"/>
      <c r="G104" s="31" t="n"/>
      <c r="H104" s="32" t="n"/>
      <c r="I104" s="32" t="n"/>
      <c r="J104" s="32" t="n"/>
      <c r="K104" s="20">
        <f>IF(AND(H104&lt;&gt;"",I104&lt;&gt;""),ABS(H104-I104),"")</f>
        <v/>
      </c>
      <c r="L104" s="33">
        <f>IFERROR(ABS(J104-H104)/K104,"")</f>
        <v/>
      </c>
      <c r="M104" s="4" t="n"/>
      <c r="N104" s="19">
        <f>IF(AND(K104&lt;&gt;"",M104&lt;&gt;""),K104*M104,"")</f>
        <v/>
      </c>
      <c r="O104" s="24">
        <f>IFERROR(N104/$B$3,"")</f>
        <v/>
      </c>
      <c r="P104" s="31" t="n"/>
      <c r="Q104" s="32" t="n"/>
      <c r="R104" s="4" t="n"/>
      <c r="S104" s="13" t="n"/>
      <c r="T104" s="33">
        <f>IFERROR(S104/N104,"")</f>
        <v/>
      </c>
      <c r="U104" s="4" t="n"/>
      <c r="V104" s="4" t="n"/>
      <c r="W104" s="4" t="n"/>
    </row>
    <row r="105">
      <c r="A105" s="30" t="n"/>
      <c r="B105" s="4" t="n"/>
      <c r="C105" s="4" t="n"/>
      <c r="D105" s="4" t="n"/>
      <c r="E105" s="4" t="n"/>
      <c r="F105" s="4" t="n"/>
      <c r="G105" s="31" t="n"/>
      <c r="H105" s="32" t="n"/>
      <c r="I105" s="32" t="n"/>
      <c r="J105" s="32" t="n"/>
      <c r="K105" s="20">
        <f>IF(AND(H105&lt;&gt;"",I105&lt;&gt;""),ABS(H105-I105),"")</f>
        <v/>
      </c>
      <c r="L105" s="33">
        <f>IFERROR(ABS(J105-H105)/K105,"")</f>
        <v/>
      </c>
      <c r="M105" s="4" t="n"/>
      <c r="N105" s="19">
        <f>IF(AND(K105&lt;&gt;"",M105&lt;&gt;""),K105*M105,"")</f>
        <v/>
      </c>
      <c r="O105" s="24">
        <f>IFERROR(N105/$B$3,"")</f>
        <v/>
      </c>
      <c r="P105" s="31" t="n"/>
      <c r="Q105" s="32" t="n"/>
      <c r="R105" s="4" t="n"/>
      <c r="S105" s="13" t="n"/>
      <c r="T105" s="33">
        <f>IFERROR(S105/N105,"")</f>
        <v/>
      </c>
      <c r="U105" s="4" t="n"/>
      <c r="V105" s="4" t="n"/>
      <c r="W105" s="4" t="n"/>
    </row>
    <row r="106">
      <c r="A106" s="30" t="n"/>
      <c r="B106" s="4" t="n"/>
      <c r="C106" s="4" t="n"/>
      <c r="D106" s="4" t="n"/>
      <c r="E106" s="4" t="n"/>
      <c r="F106" s="4" t="n"/>
      <c r="G106" s="31" t="n"/>
      <c r="H106" s="32" t="n"/>
      <c r="I106" s="32" t="n"/>
      <c r="J106" s="32" t="n"/>
      <c r="K106" s="20">
        <f>IF(AND(H106&lt;&gt;"",I106&lt;&gt;""),ABS(H106-I106),"")</f>
        <v/>
      </c>
      <c r="L106" s="33">
        <f>IFERROR(ABS(J106-H106)/K106,"")</f>
        <v/>
      </c>
      <c r="M106" s="4" t="n"/>
      <c r="N106" s="19">
        <f>IF(AND(K106&lt;&gt;"",M106&lt;&gt;""),K106*M106,"")</f>
        <v/>
      </c>
      <c r="O106" s="24">
        <f>IFERROR(N106/$B$3,"")</f>
        <v/>
      </c>
      <c r="P106" s="31" t="n"/>
      <c r="Q106" s="32" t="n"/>
      <c r="R106" s="4" t="n"/>
      <c r="S106" s="13" t="n"/>
      <c r="T106" s="33">
        <f>IFERROR(S106/N106,"")</f>
        <v/>
      </c>
      <c r="U106" s="4" t="n"/>
      <c r="V106" s="4" t="n"/>
      <c r="W106" s="4" t="n"/>
    </row>
    <row r="107">
      <c r="A107" s="30" t="n"/>
      <c r="B107" s="4" t="n"/>
      <c r="C107" s="4" t="n"/>
      <c r="D107" s="4" t="n"/>
      <c r="E107" s="4" t="n"/>
      <c r="F107" s="4" t="n"/>
      <c r="G107" s="31" t="n"/>
      <c r="H107" s="32" t="n"/>
      <c r="I107" s="32" t="n"/>
      <c r="J107" s="32" t="n"/>
      <c r="K107" s="20">
        <f>IF(AND(H107&lt;&gt;"",I107&lt;&gt;""),ABS(H107-I107),"")</f>
        <v/>
      </c>
      <c r="L107" s="33">
        <f>IFERROR(ABS(J107-H107)/K107,"")</f>
        <v/>
      </c>
      <c r="M107" s="4" t="n"/>
      <c r="N107" s="19">
        <f>IF(AND(K107&lt;&gt;"",M107&lt;&gt;""),K107*M107,"")</f>
        <v/>
      </c>
      <c r="O107" s="24">
        <f>IFERROR(N107/$B$3,"")</f>
        <v/>
      </c>
      <c r="P107" s="31" t="n"/>
      <c r="Q107" s="32" t="n"/>
      <c r="R107" s="4" t="n"/>
      <c r="S107" s="13" t="n"/>
      <c r="T107" s="33">
        <f>IFERROR(S107/N107,"")</f>
        <v/>
      </c>
      <c r="U107" s="4" t="n"/>
      <c r="V107" s="4" t="n"/>
      <c r="W107" s="4" t="n"/>
    </row>
    <row r="108">
      <c r="A108" s="30" t="n"/>
      <c r="B108" s="4" t="n"/>
      <c r="C108" s="4" t="n"/>
      <c r="D108" s="4" t="n"/>
      <c r="E108" s="4" t="n"/>
      <c r="F108" s="4" t="n"/>
      <c r="G108" s="31" t="n"/>
      <c r="H108" s="32" t="n"/>
      <c r="I108" s="32" t="n"/>
      <c r="J108" s="32" t="n"/>
      <c r="K108" s="20">
        <f>IF(AND(H108&lt;&gt;"",I108&lt;&gt;""),ABS(H108-I108),"")</f>
        <v/>
      </c>
      <c r="L108" s="33">
        <f>IFERROR(ABS(J108-H108)/K108,"")</f>
        <v/>
      </c>
      <c r="M108" s="4" t="n"/>
      <c r="N108" s="19">
        <f>IF(AND(K108&lt;&gt;"",M108&lt;&gt;""),K108*M108,"")</f>
        <v/>
      </c>
      <c r="O108" s="24">
        <f>IFERROR(N108/$B$3,"")</f>
        <v/>
      </c>
      <c r="P108" s="31" t="n"/>
      <c r="Q108" s="32" t="n"/>
      <c r="R108" s="4" t="n"/>
      <c r="S108" s="13" t="n"/>
      <c r="T108" s="33">
        <f>IFERROR(S108/N108,"")</f>
        <v/>
      </c>
      <c r="U108" s="4" t="n"/>
      <c r="V108" s="4" t="n"/>
      <c r="W108" s="4" t="n"/>
    </row>
    <row r="109">
      <c r="A109" s="30" t="n"/>
      <c r="B109" s="4" t="n"/>
      <c r="C109" s="4" t="n"/>
      <c r="D109" s="4" t="n"/>
      <c r="E109" s="4" t="n"/>
      <c r="F109" s="4" t="n"/>
      <c r="G109" s="31" t="n"/>
      <c r="H109" s="32" t="n"/>
      <c r="I109" s="32" t="n"/>
      <c r="J109" s="32" t="n"/>
      <c r="K109" s="20">
        <f>IF(AND(H109&lt;&gt;"",I109&lt;&gt;""),ABS(H109-I109),"")</f>
        <v/>
      </c>
      <c r="L109" s="33">
        <f>IFERROR(ABS(J109-H109)/K109,"")</f>
        <v/>
      </c>
      <c r="M109" s="4" t="n"/>
      <c r="N109" s="19">
        <f>IF(AND(K109&lt;&gt;"",M109&lt;&gt;""),K109*M109,"")</f>
        <v/>
      </c>
      <c r="O109" s="24">
        <f>IFERROR(N109/$B$3,"")</f>
        <v/>
      </c>
      <c r="P109" s="31" t="n"/>
      <c r="Q109" s="32" t="n"/>
      <c r="R109" s="4" t="n"/>
      <c r="S109" s="13" t="n"/>
      <c r="T109" s="33">
        <f>IFERROR(S109/N109,"")</f>
        <v/>
      </c>
      <c r="U109" s="4" t="n"/>
      <c r="V109" s="4" t="n"/>
      <c r="W109" s="4" t="n"/>
    </row>
    <row r="110">
      <c r="A110" s="30" t="n"/>
      <c r="B110" s="4" t="n"/>
      <c r="C110" s="4" t="n"/>
      <c r="D110" s="4" t="n"/>
      <c r="E110" s="4" t="n"/>
      <c r="F110" s="4" t="n"/>
      <c r="G110" s="31" t="n"/>
      <c r="H110" s="32" t="n"/>
      <c r="I110" s="32" t="n"/>
      <c r="J110" s="32" t="n"/>
      <c r="K110" s="20">
        <f>IF(AND(H110&lt;&gt;"",I110&lt;&gt;""),ABS(H110-I110),"")</f>
        <v/>
      </c>
      <c r="L110" s="33">
        <f>IFERROR(ABS(J110-H110)/K110,"")</f>
        <v/>
      </c>
      <c r="M110" s="4" t="n"/>
      <c r="N110" s="19">
        <f>IF(AND(K110&lt;&gt;"",M110&lt;&gt;""),K110*M110,"")</f>
        <v/>
      </c>
      <c r="O110" s="24">
        <f>IFERROR(N110/$B$3,"")</f>
        <v/>
      </c>
      <c r="P110" s="31" t="n"/>
      <c r="Q110" s="32" t="n"/>
      <c r="R110" s="4" t="n"/>
      <c r="S110" s="13" t="n"/>
      <c r="T110" s="33">
        <f>IFERROR(S110/N110,"")</f>
        <v/>
      </c>
      <c r="U110" s="4" t="n"/>
      <c r="V110" s="4" t="n"/>
      <c r="W110" s="4" t="n"/>
    </row>
    <row r="111">
      <c r="A111" s="30" t="n"/>
      <c r="B111" s="4" t="n"/>
      <c r="C111" s="4" t="n"/>
      <c r="D111" s="4" t="n"/>
      <c r="E111" s="4" t="n"/>
      <c r="F111" s="4" t="n"/>
      <c r="G111" s="31" t="n"/>
      <c r="H111" s="32" t="n"/>
      <c r="I111" s="32" t="n"/>
      <c r="J111" s="32" t="n"/>
      <c r="K111" s="20">
        <f>IF(AND(H111&lt;&gt;"",I111&lt;&gt;""),ABS(H111-I111),"")</f>
        <v/>
      </c>
      <c r="L111" s="33">
        <f>IFERROR(ABS(J111-H111)/K111,"")</f>
        <v/>
      </c>
      <c r="M111" s="4" t="n"/>
      <c r="N111" s="19">
        <f>IF(AND(K111&lt;&gt;"",M111&lt;&gt;""),K111*M111,"")</f>
        <v/>
      </c>
      <c r="O111" s="24">
        <f>IFERROR(N111/$B$3,"")</f>
        <v/>
      </c>
      <c r="P111" s="31" t="n"/>
      <c r="Q111" s="32" t="n"/>
      <c r="R111" s="4" t="n"/>
      <c r="S111" s="13" t="n"/>
      <c r="T111" s="33">
        <f>IFERROR(S111/N111,"")</f>
        <v/>
      </c>
      <c r="U111" s="4" t="n"/>
      <c r="V111" s="4" t="n"/>
      <c r="W111" s="4" t="n"/>
    </row>
    <row r="112">
      <c r="A112" s="30" t="n"/>
      <c r="B112" s="4" t="n"/>
      <c r="C112" s="4" t="n"/>
      <c r="D112" s="4" t="n"/>
      <c r="E112" s="4" t="n"/>
      <c r="F112" s="4" t="n"/>
      <c r="G112" s="31" t="n"/>
      <c r="H112" s="32" t="n"/>
      <c r="I112" s="32" t="n"/>
      <c r="J112" s="32" t="n"/>
      <c r="K112" s="20">
        <f>IF(AND(H112&lt;&gt;"",I112&lt;&gt;""),ABS(H112-I112),"")</f>
        <v/>
      </c>
      <c r="L112" s="33">
        <f>IFERROR(ABS(J112-H112)/K112,"")</f>
        <v/>
      </c>
      <c r="M112" s="4" t="n"/>
      <c r="N112" s="19">
        <f>IF(AND(K112&lt;&gt;"",M112&lt;&gt;""),K112*M112,"")</f>
        <v/>
      </c>
      <c r="O112" s="24">
        <f>IFERROR(N112/$B$3,"")</f>
        <v/>
      </c>
      <c r="P112" s="31" t="n"/>
      <c r="Q112" s="32" t="n"/>
      <c r="R112" s="4" t="n"/>
      <c r="S112" s="13" t="n"/>
      <c r="T112" s="33">
        <f>IFERROR(S112/N112,"")</f>
        <v/>
      </c>
      <c r="U112" s="4" t="n"/>
      <c r="V112" s="4" t="n"/>
      <c r="W112" s="4" t="n"/>
    </row>
    <row r="113">
      <c r="A113" s="30" t="n"/>
      <c r="B113" s="4" t="n"/>
      <c r="C113" s="4" t="n"/>
      <c r="D113" s="4" t="n"/>
      <c r="E113" s="4" t="n"/>
      <c r="F113" s="4" t="n"/>
      <c r="G113" s="31" t="n"/>
      <c r="H113" s="32" t="n"/>
      <c r="I113" s="32" t="n"/>
      <c r="J113" s="32" t="n"/>
      <c r="K113" s="20">
        <f>IF(AND(H113&lt;&gt;"",I113&lt;&gt;""),ABS(H113-I113),"")</f>
        <v/>
      </c>
      <c r="L113" s="33">
        <f>IFERROR(ABS(J113-H113)/K113,"")</f>
        <v/>
      </c>
      <c r="M113" s="4" t="n"/>
      <c r="N113" s="19">
        <f>IF(AND(K113&lt;&gt;"",M113&lt;&gt;""),K113*M113,"")</f>
        <v/>
      </c>
      <c r="O113" s="24">
        <f>IFERROR(N113/$B$3,"")</f>
        <v/>
      </c>
      <c r="P113" s="31" t="n"/>
      <c r="Q113" s="32" t="n"/>
      <c r="R113" s="4" t="n"/>
      <c r="S113" s="13" t="n"/>
      <c r="T113" s="33">
        <f>IFERROR(S113/N113,"")</f>
        <v/>
      </c>
      <c r="U113" s="4" t="n"/>
      <c r="V113" s="4" t="n"/>
      <c r="W113" s="4" t="n"/>
    </row>
    <row r="114">
      <c r="A114" s="30" t="n"/>
      <c r="B114" s="4" t="n"/>
      <c r="C114" s="4" t="n"/>
      <c r="D114" s="4" t="n"/>
      <c r="E114" s="4" t="n"/>
      <c r="F114" s="4" t="n"/>
      <c r="G114" s="31" t="n"/>
      <c r="H114" s="32" t="n"/>
      <c r="I114" s="32" t="n"/>
      <c r="J114" s="32" t="n"/>
      <c r="K114" s="20">
        <f>IF(AND(H114&lt;&gt;"",I114&lt;&gt;""),ABS(H114-I114),"")</f>
        <v/>
      </c>
      <c r="L114" s="33">
        <f>IFERROR(ABS(J114-H114)/K114,"")</f>
        <v/>
      </c>
      <c r="M114" s="4" t="n"/>
      <c r="N114" s="19">
        <f>IF(AND(K114&lt;&gt;"",M114&lt;&gt;""),K114*M114,"")</f>
        <v/>
      </c>
      <c r="O114" s="24">
        <f>IFERROR(N114/$B$3,"")</f>
        <v/>
      </c>
      <c r="P114" s="31" t="n"/>
      <c r="Q114" s="32" t="n"/>
      <c r="R114" s="4" t="n"/>
      <c r="S114" s="13" t="n"/>
      <c r="T114" s="33">
        <f>IFERROR(S114/N114,"")</f>
        <v/>
      </c>
      <c r="U114" s="4" t="n"/>
      <c r="V114" s="4" t="n"/>
      <c r="W114" s="4" t="n"/>
    </row>
    <row r="115">
      <c r="A115" s="30" t="n"/>
      <c r="B115" s="4" t="n"/>
      <c r="C115" s="4" t="n"/>
      <c r="D115" s="4" t="n"/>
      <c r="E115" s="4" t="n"/>
      <c r="F115" s="4" t="n"/>
      <c r="G115" s="31" t="n"/>
      <c r="H115" s="32" t="n"/>
      <c r="I115" s="32" t="n"/>
      <c r="J115" s="32" t="n"/>
      <c r="K115" s="20">
        <f>IF(AND(H115&lt;&gt;"",I115&lt;&gt;""),ABS(H115-I115),"")</f>
        <v/>
      </c>
      <c r="L115" s="33">
        <f>IFERROR(ABS(J115-H115)/K115,"")</f>
        <v/>
      </c>
      <c r="M115" s="4" t="n"/>
      <c r="N115" s="19">
        <f>IF(AND(K115&lt;&gt;"",M115&lt;&gt;""),K115*M115,"")</f>
        <v/>
      </c>
      <c r="O115" s="24">
        <f>IFERROR(N115/$B$3,"")</f>
        <v/>
      </c>
      <c r="P115" s="31" t="n"/>
      <c r="Q115" s="32" t="n"/>
      <c r="R115" s="4" t="n"/>
      <c r="S115" s="13" t="n"/>
      <c r="T115" s="33">
        <f>IFERROR(S115/N115,"")</f>
        <v/>
      </c>
      <c r="U115" s="4" t="n"/>
      <c r="V115" s="4" t="n"/>
      <c r="W115" s="4" t="n"/>
    </row>
    <row r="116">
      <c r="A116" s="30" t="n"/>
      <c r="B116" s="4" t="n"/>
      <c r="C116" s="4" t="n"/>
      <c r="D116" s="4" t="n"/>
      <c r="E116" s="4" t="n"/>
      <c r="F116" s="4" t="n"/>
      <c r="G116" s="31" t="n"/>
      <c r="H116" s="32" t="n"/>
      <c r="I116" s="32" t="n"/>
      <c r="J116" s="32" t="n"/>
      <c r="K116" s="20">
        <f>IF(AND(H116&lt;&gt;"",I116&lt;&gt;""),ABS(H116-I116),"")</f>
        <v/>
      </c>
      <c r="L116" s="33">
        <f>IFERROR(ABS(J116-H116)/K116,"")</f>
        <v/>
      </c>
      <c r="M116" s="4" t="n"/>
      <c r="N116" s="19">
        <f>IF(AND(K116&lt;&gt;"",M116&lt;&gt;""),K116*M116,"")</f>
        <v/>
      </c>
      <c r="O116" s="24">
        <f>IFERROR(N116/$B$3,"")</f>
        <v/>
      </c>
      <c r="P116" s="31" t="n"/>
      <c r="Q116" s="32" t="n"/>
      <c r="R116" s="4" t="n"/>
      <c r="S116" s="13" t="n"/>
      <c r="T116" s="33">
        <f>IFERROR(S116/N116,"")</f>
        <v/>
      </c>
      <c r="U116" s="4" t="n"/>
      <c r="V116" s="4" t="n"/>
      <c r="W116" s="4" t="n"/>
    </row>
    <row r="117">
      <c r="A117" s="30" t="n"/>
      <c r="B117" s="4" t="n"/>
      <c r="C117" s="4" t="n"/>
      <c r="D117" s="4" t="n"/>
      <c r="E117" s="4" t="n"/>
      <c r="F117" s="4" t="n"/>
      <c r="G117" s="31" t="n"/>
      <c r="H117" s="32" t="n"/>
      <c r="I117" s="32" t="n"/>
      <c r="J117" s="32" t="n"/>
      <c r="K117" s="20">
        <f>IF(AND(H117&lt;&gt;"",I117&lt;&gt;""),ABS(H117-I117),"")</f>
        <v/>
      </c>
      <c r="L117" s="33">
        <f>IFERROR(ABS(J117-H117)/K117,"")</f>
        <v/>
      </c>
      <c r="M117" s="4" t="n"/>
      <c r="N117" s="19">
        <f>IF(AND(K117&lt;&gt;"",M117&lt;&gt;""),K117*M117,"")</f>
        <v/>
      </c>
      <c r="O117" s="24">
        <f>IFERROR(N117/$B$3,"")</f>
        <v/>
      </c>
      <c r="P117" s="31" t="n"/>
      <c r="Q117" s="32" t="n"/>
      <c r="R117" s="4" t="n"/>
      <c r="S117" s="13" t="n"/>
      <c r="T117" s="33">
        <f>IFERROR(S117/N117,"")</f>
        <v/>
      </c>
      <c r="U117" s="4" t="n"/>
      <c r="V117" s="4" t="n"/>
      <c r="W117" s="4" t="n"/>
    </row>
    <row r="118">
      <c r="A118" s="30" t="n"/>
      <c r="B118" s="4" t="n"/>
      <c r="C118" s="4" t="n"/>
      <c r="D118" s="4" t="n"/>
      <c r="E118" s="4" t="n"/>
      <c r="F118" s="4" t="n"/>
      <c r="G118" s="31" t="n"/>
      <c r="H118" s="32" t="n"/>
      <c r="I118" s="32" t="n"/>
      <c r="J118" s="32" t="n"/>
      <c r="K118" s="20">
        <f>IF(AND(H118&lt;&gt;"",I118&lt;&gt;""),ABS(H118-I118),"")</f>
        <v/>
      </c>
      <c r="L118" s="33">
        <f>IFERROR(ABS(J118-H118)/K118,"")</f>
        <v/>
      </c>
      <c r="M118" s="4" t="n"/>
      <c r="N118" s="19">
        <f>IF(AND(K118&lt;&gt;"",M118&lt;&gt;""),K118*M118,"")</f>
        <v/>
      </c>
      <c r="O118" s="24">
        <f>IFERROR(N118/$B$3,"")</f>
        <v/>
      </c>
      <c r="P118" s="31" t="n"/>
      <c r="Q118" s="32" t="n"/>
      <c r="R118" s="4" t="n"/>
      <c r="S118" s="13" t="n"/>
      <c r="T118" s="33">
        <f>IFERROR(S118/N118,"")</f>
        <v/>
      </c>
      <c r="U118" s="4" t="n"/>
      <c r="V118" s="4" t="n"/>
      <c r="W118" s="4" t="n"/>
    </row>
    <row r="119">
      <c r="A119" s="30" t="n"/>
      <c r="B119" s="4" t="n"/>
      <c r="C119" s="4" t="n"/>
      <c r="D119" s="4" t="n"/>
      <c r="E119" s="4" t="n"/>
      <c r="F119" s="4" t="n"/>
      <c r="G119" s="31" t="n"/>
      <c r="H119" s="32" t="n"/>
      <c r="I119" s="32" t="n"/>
      <c r="J119" s="32" t="n"/>
      <c r="K119" s="20">
        <f>IF(AND(H119&lt;&gt;"",I119&lt;&gt;""),ABS(H119-I119),"")</f>
        <v/>
      </c>
      <c r="L119" s="33">
        <f>IFERROR(ABS(J119-H119)/K119,"")</f>
        <v/>
      </c>
      <c r="M119" s="4" t="n"/>
      <c r="N119" s="19">
        <f>IF(AND(K119&lt;&gt;"",M119&lt;&gt;""),K119*M119,"")</f>
        <v/>
      </c>
      <c r="O119" s="24">
        <f>IFERROR(N119/$B$3,"")</f>
        <v/>
      </c>
      <c r="P119" s="31" t="n"/>
      <c r="Q119" s="32" t="n"/>
      <c r="R119" s="4" t="n"/>
      <c r="S119" s="13" t="n"/>
      <c r="T119" s="33">
        <f>IFERROR(S119/N119,"")</f>
        <v/>
      </c>
      <c r="U119" s="4" t="n"/>
      <c r="V119" s="4" t="n"/>
      <c r="W119" s="4" t="n"/>
    </row>
    <row r="120">
      <c r="A120" s="30" t="n"/>
      <c r="B120" s="4" t="n"/>
      <c r="C120" s="4" t="n"/>
      <c r="D120" s="4" t="n"/>
      <c r="E120" s="4" t="n"/>
      <c r="F120" s="4" t="n"/>
      <c r="G120" s="31" t="n"/>
      <c r="H120" s="32" t="n"/>
      <c r="I120" s="32" t="n"/>
      <c r="J120" s="32" t="n"/>
      <c r="K120" s="20">
        <f>IF(AND(H120&lt;&gt;"",I120&lt;&gt;""),ABS(H120-I120),"")</f>
        <v/>
      </c>
      <c r="L120" s="33">
        <f>IFERROR(ABS(J120-H120)/K120,"")</f>
        <v/>
      </c>
      <c r="M120" s="4" t="n"/>
      <c r="N120" s="19">
        <f>IF(AND(K120&lt;&gt;"",M120&lt;&gt;""),K120*M120,"")</f>
        <v/>
      </c>
      <c r="O120" s="24">
        <f>IFERROR(N120/$B$3,"")</f>
        <v/>
      </c>
      <c r="P120" s="31" t="n"/>
      <c r="Q120" s="32" t="n"/>
      <c r="R120" s="4" t="n"/>
      <c r="S120" s="13" t="n"/>
      <c r="T120" s="33">
        <f>IFERROR(S120/N120,"")</f>
        <v/>
      </c>
      <c r="U120" s="4" t="n"/>
      <c r="V120" s="4" t="n"/>
      <c r="W120" s="4" t="n"/>
    </row>
    <row r="121">
      <c r="A121" s="30" t="n"/>
      <c r="B121" s="4" t="n"/>
      <c r="C121" s="4" t="n"/>
      <c r="D121" s="4" t="n"/>
      <c r="E121" s="4" t="n"/>
      <c r="F121" s="4" t="n"/>
      <c r="G121" s="31" t="n"/>
      <c r="H121" s="32" t="n"/>
      <c r="I121" s="32" t="n"/>
      <c r="J121" s="32" t="n"/>
      <c r="K121" s="20">
        <f>IF(AND(H121&lt;&gt;"",I121&lt;&gt;""),ABS(H121-I121),"")</f>
        <v/>
      </c>
      <c r="L121" s="33">
        <f>IFERROR(ABS(J121-H121)/K121,"")</f>
        <v/>
      </c>
      <c r="M121" s="4" t="n"/>
      <c r="N121" s="19">
        <f>IF(AND(K121&lt;&gt;"",M121&lt;&gt;""),K121*M121,"")</f>
        <v/>
      </c>
      <c r="O121" s="24">
        <f>IFERROR(N121/$B$3,"")</f>
        <v/>
      </c>
      <c r="P121" s="31" t="n"/>
      <c r="Q121" s="32" t="n"/>
      <c r="R121" s="4" t="n"/>
      <c r="S121" s="13" t="n"/>
      <c r="T121" s="33">
        <f>IFERROR(S121/N121,"")</f>
        <v/>
      </c>
      <c r="U121" s="4" t="n"/>
      <c r="V121" s="4" t="n"/>
      <c r="W121" s="4" t="n"/>
    </row>
    <row r="122">
      <c r="A122" s="30" t="n"/>
      <c r="B122" s="4" t="n"/>
      <c r="C122" s="4" t="n"/>
      <c r="D122" s="4" t="n"/>
      <c r="E122" s="4" t="n"/>
      <c r="F122" s="4" t="n"/>
      <c r="G122" s="31" t="n"/>
      <c r="H122" s="32" t="n"/>
      <c r="I122" s="32" t="n"/>
      <c r="J122" s="32" t="n"/>
      <c r="K122" s="20">
        <f>IF(AND(H122&lt;&gt;"",I122&lt;&gt;""),ABS(H122-I122),"")</f>
        <v/>
      </c>
      <c r="L122" s="33">
        <f>IFERROR(ABS(J122-H122)/K122,"")</f>
        <v/>
      </c>
      <c r="M122" s="4" t="n"/>
      <c r="N122" s="19">
        <f>IF(AND(K122&lt;&gt;"",M122&lt;&gt;""),K122*M122,"")</f>
        <v/>
      </c>
      <c r="O122" s="24">
        <f>IFERROR(N122/$B$3,"")</f>
        <v/>
      </c>
      <c r="P122" s="31" t="n"/>
      <c r="Q122" s="32" t="n"/>
      <c r="R122" s="4" t="n"/>
      <c r="S122" s="13" t="n"/>
      <c r="T122" s="33">
        <f>IFERROR(S122/N122,"")</f>
        <v/>
      </c>
      <c r="U122" s="4" t="n"/>
      <c r="V122" s="4" t="n"/>
      <c r="W122" s="4" t="n"/>
    </row>
    <row r="123">
      <c r="A123" s="30" t="n"/>
      <c r="B123" s="4" t="n"/>
      <c r="C123" s="4" t="n"/>
      <c r="D123" s="4" t="n"/>
      <c r="E123" s="4" t="n"/>
      <c r="F123" s="4" t="n"/>
      <c r="G123" s="31" t="n"/>
      <c r="H123" s="32" t="n"/>
      <c r="I123" s="32" t="n"/>
      <c r="J123" s="32" t="n"/>
      <c r="K123" s="20">
        <f>IF(AND(H123&lt;&gt;"",I123&lt;&gt;""),ABS(H123-I123),"")</f>
        <v/>
      </c>
      <c r="L123" s="33">
        <f>IFERROR(ABS(J123-H123)/K123,"")</f>
        <v/>
      </c>
      <c r="M123" s="4" t="n"/>
      <c r="N123" s="19">
        <f>IF(AND(K123&lt;&gt;"",M123&lt;&gt;""),K123*M123,"")</f>
        <v/>
      </c>
      <c r="O123" s="24">
        <f>IFERROR(N123/$B$3,"")</f>
        <v/>
      </c>
      <c r="P123" s="31" t="n"/>
      <c r="Q123" s="32" t="n"/>
      <c r="R123" s="4" t="n"/>
      <c r="S123" s="13" t="n"/>
      <c r="T123" s="33">
        <f>IFERROR(S123/N123,"")</f>
        <v/>
      </c>
      <c r="U123" s="4" t="n"/>
      <c r="V123" s="4" t="n"/>
      <c r="W123" s="4" t="n"/>
    </row>
    <row r="124">
      <c r="A124" s="30" t="n"/>
      <c r="B124" s="4" t="n"/>
      <c r="C124" s="4" t="n"/>
      <c r="D124" s="4" t="n"/>
      <c r="E124" s="4" t="n"/>
      <c r="F124" s="4" t="n"/>
      <c r="G124" s="31" t="n"/>
      <c r="H124" s="32" t="n"/>
      <c r="I124" s="32" t="n"/>
      <c r="J124" s="32" t="n"/>
      <c r="K124" s="20">
        <f>IF(AND(H124&lt;&gt;"",I124&lt;&gt;""),ABS(H124-I124),"")</f>
        <v/>
      </c>
      <c r="L124" s="33">
        <f>IFERROR(ABS(J124-H124)/K124,"")</f>
        <v/>
      </c>
      <c r="M124" s="4" t="n"/>
      <c r="N124" s="19">
        <f>IF(AND(K124&lt;&gt;"",M124&lt;&gt;""),K124*M124,"")</f>
        <v/>
      </c>
      <c r="O124" s="24">
        <f>IFERROR(N124/$B$3,"")</f>
        <v/>
      </c>
      <c r="P124" s="31" t="n"/>
      <c r="Q124" s="32" t="n"/>
      <c r="R124" s="4" t="n"/>
      <c r="S124" s="13" t="n"/>
      <c r="T124" s="33">
        <f>IFERROR(S124/N124,"")</f>
        <v/>
      </c>
      <c r="U124" s="4" t="n"/>
      <c r="V124" s="4" t="n"/>
      <c r="W124" s="4" t="n"/>
    </row>
    <row r="125">
      <c r="A125" s="30" t="n"/>
      <c r="B125" s="4" t="n"/>
      <c r="C125" s="4" t="n"/>
      <c r="D125" s="4" t="n"/>
      <c r="E125" s="4" t="n"/>
      <c r="F125" s="4" t="n"/>
      <c r="G125" s="31" t="n"/>
      <c r="H125" s="32" t="n"/>
      <c r="I125" s="32" t="n"/>
      <c r="J125" s="32" t="n"/>
      <c r="K125" s="20">
        <f>IF(AND(H125&lt;&gt;"",I125&lt;&gt;""),ABS(H125-I125),"")</f>
        <v/>
      </c>
      <c r="L125" s="33">
        <f>IFERROR(ABS(J125-H125)/K125,"")</f>
        <v/>
      </c>
      <c r="M125" s="4" t="n"/>
      <c r="N125" s="19">
        <f>IF(AND(K125&lt;&gt;"",M125&lt;&gt;""),K125*M125,"")</f>
        <v/>
      </c>
      <c r="O125" s="24">
        <f>IFERROR(N125/$B$3,"")</f>
        <v/>
      </c>
      <c r="P125" s="31" t="n"/>
      <c r="Q125" s="32" t="n"/>
      <c r="R125" s="4" t="n"/>
      <c r="S125" s="13" t="n"/>
      <c r="T125" s="33">
        <f>IFERROR(S125/N125,"")</f>
        <v/>
      </c>
      <c r="U125" s="4" t="n"/>
      <c r="V125" s="4" t="n"/>
      <c r="W125" s="4" t="n"/>
    </row>
    <row r="126">
      <c r="A126" s="30" t="n"/>
      <c r="B126" s="4" t="n"/>
      <c r="C126" s="4" t="n"/>
      <c r="D126" s="4" t="n"/>
      <c r="E126" s="4" t="n"/>
      <c r="F126" s="4" t="n"/>
      <c r="G126" s="31" t="n"/>
      <c r="H126" s="32" t="n"/>
      <c r="I126" s="32" t="n"/>
      <c r="J126" s="32" t="n"/>
      <c r="K126" s="20">
        <f>IF(AND(H126&lt;&gt;"",I126&lt;&gt;""),ABS(H126-I126),"")</f>
        <v/>
      </c>
      <c r="L126" s="33">
        <f>IFERROR(ABS(J126-H126)/K126,"")</f>
        <v/>
      </c>
      <c r="M126" s="4" t="n"/>
      <c r="N126" s="19">
        <f>IF(AND(K126&lt;&gt;"",M126&lt;&gt;""),K126*M126,"")</f>
        <v/>
      </c>
      <c r="O126" s="24">
        <f>IFERROR(N126/$B$3,"")</f>
        <v/>
      </c>
      <c r="P126" s="31" t="n"/>
      <c r="Q126" s="32" t="n"/>
      <c r="R126" s="4" t="n"/>
      <c r="S126" s="13" t="n"/>
      <c r="T126" s="33">
        <f>IFERROR(S126/N126,"")</f>
        <v/>
      </c>
      <c r="U126" s="4" t="n"/>
      <c r="V126" s="4" t="n"/>
      <c r="W126" s="4" t="n"/>
    </row>
    <row r="127">
      <c r="A127" s="30" t="n"/>
      <c r="B127" s="4" t="n"/>
      <c r="C127" s="4" t="n"/>
      <c r="D127" s="4" t="n"/>
      <c r="E127" s="4" t="n"/>
      <c r="F127" s="4" t="n"/>
      <c r="G127" s="31" t="n"/>
      <c r="H127" s="32" t="n"/>
      <c r="I127" s="32" t="n"/>
      <c r="J127" s="32" t="n"/>
      <c r="K127" s="20">
        <f>IF(AND(H127&lt;&gt;"",I127&lt;&gt;""),ABS(H127-I127),"")</f>
        <v/>
      </c>
      <c r="L127" s="33">
        <f>IFERROR(ABS(J127-H127)/K127,"")</f>
        <v/>
      </c>
      <c r="M127" s="4" t="n"/>
      <c r="N127" s="19">
        <f>IF(AND(K127&lt;&gt;"",M127&lt;&gt;""),K127*M127,"")</f>
        <v/>
      </c>
      <c r="O127" s="24">
        <f>IFERROR(N127/$B$3,"")</f>
        <v/>
      </c>
      <c r="P127" s="31" t="n"/>
      <c r="Q127" s="32" t="n"/>
      <c r="R127" s="4" t="n"/>
      <c r="S127" s="13" t="n"/>
      <c r="T127" s="33">
        <f>IFERROR(S127/N127,"")</f>
        <v/>
      </c>
      <c r="U127" s="4" t="n"/>
      <c r="V127" s="4" t="n"/>
      <c r="W127" s="4" t="n"/>
    </row>
    <row r="128">
      <c r="A128" s="30" t="n"/>
      <c r="B128" s="4" t="n"/>
      <c r="C128" s="4" t="n"/>
      <c r="D128" s="4" t="n"/>
      <c r="E128" s="4" t="n"/>
      <c r="F128" s="4" t="n"/>
      <c r="G128" s="31" t="n"/>
      <c r="H128" s="32" t="n"/>
      <c r="I128" s="32" t="n"/>
      <c r="J128" s="32" t="n"/>
      <c r="K128" s="20">
        <f>IF(AND(H128&lt;&gt;"",I128&lt;&gt;""),ABS(H128-I128),"")</f>
        <v/>
      </c>
      <c r="L128" s="33">
        <f>IFERROR(ABS(J128-H128)/K128,"")</f>
        <v/>
      </c>
      <c r="M128" s="4" t="n"/>
      <c r="N128" s="19">
        <f>IF(AND(K128&lt;&gt;"",M128&lt;&gt;""),K128*M128,"")</f>
        <v/>
      </c>
      <c r="O128" s="24">
        <f>IFERROR(N128/$B$3,"")</f>
        <v/>
      </c>
      <c r="P128" s="31" t="n"/>
      <c r="Q128" s="32" t="n"/>
      <c r="R128" s="4" t="n"/>
      <c r="S128" s="13" t="n"/>
      <c r="T128" s="33">
        <f>IFERROR(S128/N128,"")</f>
        <v/>
      </c>
      <c r="U128" s="4" t="n"/>
      <c r="V128" s="4" t="n"/>
      <c r="W128" s="4" t="n"/>
    </row>
    <row r="129">
      <c r="A129" s="30" t="n"/>
      <c r="B129" s="4" t="n"/>
      <c r="C129" s="4" t="n"/>
      <c r="D129" s="4" t="n"/>
      <c r="E129" s="4" t="n"/>
      <c r="F129" s="4" t="n"/>
      <c r="G129" s="31" t="n"/>
      <c r="H129" s="32" t="n"/>
      <c r="I129" s="32" t="n"/>
      <c r="J129" s="32" t="n"/>
      <c r="K129" s="20">
        <f>IF(AND(H129&lt;&gt;"",I129&lt;&gt;""),ABS(H129-I129),"")</f>
        <v/>
      </c>
      <c r="L129" s="33">
        <f>IFERROR(ABS(J129-H129)/K129,"")</f>
        <v/>
      </c>
      <c r="M129" s="4" t="n"/>
      <c r="N129" s="19">
        <f>IF(AND(K129&lt;&gt;"",M129&lt;&gt;""),K129*M129,"")</f>
        <v/>
      </c>
      <c r="O129" s="24">
        <f>IFERROR(N129/$B$3,"")</f>
        <v/>
      </c>
      <c r="P129" s="31" t="n"/>
      <c r="Q129" s="32" t="n"/>
      <c r="R129" s="4" t="n"/>
      <c r="S129" s="13" t="n"/>
      <c r="T129" s="33">
        <f>IFERROR(S129/N129,"")</f>
        <v/>
      </c>
      <c r="U129" s="4" t="n"/>
      <c r="V129" s="4" t="n"/>
      <c r="W129" s="4" t="n"/>
    </row>
    <row r="130">
      <c r="A130" s="30" t="n"/>
      <c r="B130" s="4" t="n"/>
      <c r="C130" s="4" t="n"/>
      <c r="D130" s="4" t="n"/>
      <c r="E130" s="4" t="n"/>
      <c r="F130" s="4" t="n"/>
      <c r="G130" s="31" t="n"/>
      <c r="H130" s="32" t="n"/>
      <c r="I130" s="32" t="n"/>
      <c r="J130" s="32" t="n"/>
      <c r="K130" s="20">
        <f>IF(AND(H130&lt;&gt;"",I130&lt;&gt;""),ABS(H130-I130),"")</f>
        <v/>
      </c>
      <c r="L130" s="33">
        <f>IFERROR(ABS(J130-H130)/K130,"")</f>
        <v/>
      </c>
      <c r="M130" s="4" t="n"/>
      <c r="N130" s="19">
        <f>IF(AND(K130&lt;&gt;"",M130&lt;&gt;""),K130*M130,"")</f>
        <v/>
      </c>
      <c r="O130" s="24">
        <f>IFERROR(N130/$B$3,"")</f>
        <v/>
      </c>
      <c r="P130" s="31" t="n"/>
      <c r="Q130" s="32" t="n"/>
      <c r="R130" s="4" t="n"/>
      <c r="S130" s="13" t="n"/>
      <c r="T130" s="33">
        <f>IFERROR(S130/N130,"")</f>
        <v/>
      </c>
      <c r="U130" s="4" t="n"/>
      <c r="V130" s="4" t="n"/>
      <c r="W130" s="4" t="n"/>
    </row>
    <row r="131">
      <c r="A131" s="30" t="n"/>
      <c r="B131" s="4" t="n"/>
      <c r="C131" s="4" t="n"/>
      <c r="D131" s="4" t="n"/>
      <c r="E131" s="4" t="n"/>
      <c r="F131" s="4" t="n"/>
      <c r="G131" s="31" t="n"/>
      <c r="H131" s="32" t="n"/>
      <c r="I131" s="32" t="n"/>
      <c r="J131" s="32" t="n"/>
      <c r="K131" s="20">
        <f>IF(AND(H131&lt;&gt;"",I131&lt;&gt;""),ABS(H131-I131),"")</f>
        <v/>
      </c>
      <c r="L131" s="33">
        <f>IFERROR(ABS(J131-H131)/K131,"")</f>
        <v/>
      </c>
      <c r="M131" s="4" t="n"/>
      <c r="N131" s="19">
        <f>IF(AND(K131&lt;&gt;"",M131&lt;&gt;""),K131*M131,"")</f>
        <v/>
      </c>
      <c r="O131" s="24">
        <f>IFERROR(N131/$B$3,"")</f>
        <v/>
      </c>
      <c r="P131" s="31" t="n"/>
      <c r="Q131" s="32" t="n"/>
      <c r="R131" s="4" t="n"/>
      <c r="S131" s="13" t="n"/>
      <c r="T131" s="33">
        <f>IFERROR(S131/N131,"")</f>
        <v/>
      </c>
      <c r="U131" s="4" t="n"/>
      <c r="V131" s="4" t="n"/>
      <c r="W131" s="4" t="n"/>
    </row>
    <row r="132">
      <c r="A132" s="30" t="n"/>
      <c r="B132" s="4" t="n"/>
      <c r="C132" s="4" t="n"/>
      <c r="D132" s="4" t="n"/>
      <c r="E132" s="4" t="n"/>
      <c r="F132" s="4" t="n"/>
      <c r="G132" s="31" t="n"/>
      <c r="H132" s="32" t="n"/>
      <c r="I132" s="32" t="n"/>
      <c r="J132" s="32" t="n"/>
      <c r="K132" s="20">
        <f>IF(AND(H132&lt;&gt;"",I132&lt;&gt;""),ABS(H132-I132),"")</f>
        <v/>
      </c>
      <c r="L132" s="33">
        <f>IFERROR(ABS(J132-H132)/K132,"")</f>
        <v/>
      </c>
      <c r="M132" s="4" t="n"/>
      <c r="N132" s="19">
        <f>IF(AND(K132&lt;&gt;"",M132&lt;&gt;""),K132*M132,"")</f>
        <v/>
      </c>
      <c r="O132" s="24">
        <f>IFERROR(N132/$B$3,"")</f>
        <v/>
      </c>
      <c r="P132" s="31" t="n"/>
      <c r="Q132" s="32" t="n"/>
      <c r="R132" s="4" t="n"/>
      <c r="S132" s="13" t="n"/>
      <c r="T132" s="33">
        <f>IFERROR(S132/N132,"")</f>
        <v/>
      </c>
      <c r="U132" s="4" t="n"/>
      <c r="V132" s="4" t="n"/>
      <c r="W132" s="4" t="n"/>
    </row>
    <row r="133">
      <c r="A133" s="30" t="n"/>
      <c r="B133" s="4" t="n"/>
      <c r="C133" s="4" t="n"/>
      <c r="D133" s="4" t="n"/>
      <c r="E133" s="4" t="n"/>
      <c r="F133" s="4" t="n"/>
      <c r="G133" s="31" t="n"/>
      <c r="H133" s="32" t="n"/>
      <c r="I133" s="32" t="n"/>
      <c r="J133" s="32" t="n"/>
      <c r="K133" s="20">
        <f>IF(AND(H133&lt;&gt;"",I133&lt;&gt;""),ABS(H133-I133),"")</f>
        <v/>
      </c>
      <c r="L133" s="33">
        <f>IFERROR(ABS(J133-H133)/K133,"")</f>
        <v/>
      </c>
      <c r="M133" s="4" t="n"/>
      <c r="N133" s="19">
        <f>IF(AND(K133&lt;&gt;"",M133&lt;&gt;""),K133*M133,"")</f>
        <v/>
      </c>
      <c r="O133" s="24">
        <f>IFERROR(N133/$B$3,"")</f>
        <v/>
      </c>
      <c r="P133" s="31" t="n"/>
      <c r="Q133" s="32" t="n"/>
      <c r="R133" s="4" t="n"/>
      <c r="S133" s="13" t="n"/>
      <c r="T133" s="33">
        <f>IFERROR(S133/N133,"")</f>
        <v/>
      </c>
      <c r="U133" s="4" t="n"/>
      <c r="V133" s="4" t="n"/>
      <c r="W133" s="4" t="n"/>
    </row>
    <row r="134">
      <c r="A134" s="30" t="n"/>
      <c r="B134" s="4" t="n"/>
      <c r="C134" s="4" t="n"/>
      <c r="D134" s="4" t="n"/>
      <c r="E134" s="4" t="n"/>
      <c r="F134" s="4" t="n"/>
      <c r="G134" s="31" t="n"/>
      <c r="H134" s="32" t="n"/>
      <c r="I134" s="32" t="n"/>
      <c r="J134" s="32" t="n"/>
      <c r="K134" s="20">
        <f>IF(AND(H134&lt;&gt;"",I134&lt;&gt;""),ABS(H134-I134),"")</f>
        <v/>
      </c>
      <c r="L134" s="33">
        <f>IFERROR(ABS(J134-H134)/K134,"")</f>
        <v/>
      </c>
      <c r="M134" s="4" t="n"/>
      <c r="N134" s="19">
        <f>IF(AND(K134&lt;&gt;"",M134&lt;&gt;""),K134*M134,"")</f>
        <v/>
      </c>
      <c r="O134" s="24">
        <f>IFERROR(N134/$B$3,"")</f>
        <v/>
      </c>
      <c r="P134" s="31" t="n"/>
      <c r="Q134" s="32" t="n"/>
      <c r="R134" s="4" t="n"/>
      <c r="S134" s="13" t="n"/>
      <c r="T134" s="33">
        <f>IFERROR(S134/N134,"")</f>
        <v/>
      </c>
      <c r="U134" s="4" t="n"/>
      <c r="V134" s="4" t="n"/>
      <c r="W134" s="4" t="n"/>
    </row>
    <row r="135">
      <c r="A135" s="30" t="n"/>
      <c r="B135" s="4" t="n"/>
      <c r="C135" s="4" t="n"/>
      <c r="D135" s="4" t="n"/>
      <c r="E135" s="4" t="n"/>
      <c r="F135" s="4" t="n"/>
      <c r="G135" s="31" t="n"/>
      <c r="H135" s="32" t="n"/>
      <c r="I135" s="32" t="n"/>
      <c r="J135" s="32" t="n"/>
      <c r="K135" s="20">
        <f>IF(AND(H135&lt;&gt;"",I135&lt;&gt;""),ABS(H135-I135),"")</f>
        <v/>
      </c>
      <c r="L135" s="33">
        <f>IFERROR(ABS(J135-H135)/K135,"")</f>
        <v/>
      </c>
      <c r="M135" s="4" t="n"/>
      <c r="N135" s="19">
        <f>IF(AND(K135&lt;&gt;"",M135&lt;&gt;""),K135*M135,"")</f>
        <v/>
      </c>
      <c r="O135" s="24">
        <f>IFERROR(N135/$B$3,"")</f>
        <v/>
      </c>
      <c r="P135" s="31" t="n"/>
      <c r="Q135" s="32" t="n"/>
      <c r="R135" s="4" t="n"/>
      <c r="S135" s="13" t="n"/>
      <c r="T135" s="33">
        <f>IFERROR(S135/N135,"")</f>
        <v/>
      </c>
      <c r="U135" s="4" t="n"/>
      <c r="V135" s="4" t="n"/>
      <c r="W135" s="4" t="n"/>
    </row>
    <row r="136">
      <c r="A136" s="30" t="n"/>
      <c r="B136" s="4" t="n"/>
      <c r="C136" s="4" t="n"/>
      <c r="D136" s="4" t="n"/>
      <c r="E136" s="4" t="n"/>
      <c r="F136" s="4" t="n"/>
      <c r="G136" s="31" t="n"/>
      <c r="H136" s="32" t="n"/>
      <c r="I136" s="32" t="n"/>
      <c r="J136" s="32" t="n"/>
      <c r="K136" s="20">
        <f>IF(AND(H136&lt;&gt;"",I136&lt;&gt;""),ABS(H136-I136),"")</f>
        <v/>
      </c>
      <c r="L136" s="33">
        <f>IFERROR(ABS(J136-H136)/K136,"")</f>
        <v/>
      </c>
      <c r="M136" s="4" t="n"/>
      <c r="N136" s="19">
        <f>IF(AND(K136&lt;&gt;"",M136&lt;&gt;""),K136*M136,"")</f>
        <v/>
      </c>
      <c r="O136" s="24">
        <f>IFERROR(N136/$B$3,"")</f>
        <v/>
      </c>
      <c r="P136" s="31" t="n"/>
      <c r="Q136" s="32" t="n"/>
      <c r="R136" s="4" t="n"/>
      <c r="S136" s="13" t="n"/>
      <c r="T136" s="33">
        <f>IFERROR(S136/N136,"")</f>
        <v/>
      </c>
      <c r="U136" s="4" t="n"/>
      <c r="V136" s="4" t="n"/>
      <c r="W136" s="4" t="n"/>
    </row>
    <row r="137">
      <c r="A137" s="30" t="n"/>
      <c r="B137" s="4" t="n"/>
      <c r="C137" s="4" t="n"/>
      <c r="D137" s="4" t="n"/>
      <c r="E137" s="4" t="n"/>
      <c r="F137" s="4" t="n"/>
      <c r="G137" s="31" t="n"/>
      <c r="H137" s="32" t="n"/>
      <c r="I137" s="32" t="n"/>
      <c r="J137" s="32" t="n"/>
      <c r="K137" s="20">
        <f>IF(AND(H137&lt;&gt;"",I137&lt;&gt;""),ABS(H137-I137),"")</f>
        <v/>
      </c>
      <c r="L137" s="33">
        <f>IFERROR(ABS(J137-H137)/K137,"")</f>
        <v/>
      </c>
      <c r="M137" s="4" t="n"/>
      <c r="N137" s="19">
        <f>IF(AND(K137&lt;&gt;"",M137&lt;&gt;""),K137*M137,"")</f>
        <v/>
      </c>
      <c r="O137" s="24">
        <f>IFERROR(N137/$B$3,"")</f>
        <v/>
      </c>
      <c r="P137" s="31" t="n"/>
      <c r="Q137" s="32" t="n"/>
      <c r="R137" s="4" t="n"/>
      <c r="S137" s="13" t="n"/>
      <c r="T137" s="33">
        <f>IFERROR(S137/N137,"")</f>
        <v/>
      </c>
      <c r="U137" s="4" t="n"/>
      <c r="V137" s="4" t="n"/>
      <c r="W137" s="4" t="n"/>
    </row>
    <row r="138">
      <c r="A138" s="30" t="n"/>
      <c r="B138" s="4" t="n"/>
      <c r="C138" s="4" t="n"/>
      <c r="D138" s="4" t="n"/>
      <c r="E138" s="4" t="n"/>
      <c r="F138" s="4" t="n"/>
      <c r="G138" s="31" t="n"/>
      <c r="H138" s="32" t="n"/>
      <c r="I138" s="32" t="n"/>
      <c r="J138" s="32" t="n"/>
      <c r="K138" s="20">
        <f>IF(AND(H138&lt;&gt;"",I138&lt;&gt;""),ABS(H138-I138),"")</f>
        <v/>
      </c>
      <c r="L138" s="33">
        <f>IFERROR(ABS(J138-H138)/K138,"")</f>
        <v/>
      </c>
      <c r="M138" s="4" t="n"/>
      <c r="N138" s="19">
        <f>IF(AND(K138&lt;&gt;"",M138&lt;&gt;""),K138*M138,"")</f>
        <v/>
      </c>
      <c r="O138" s="24">
        <f>IFERROR(N138/$B$3,"")</f>
        <v/>
      </c>
      <c r="P138" s="31" t="n"/>
      <c r="Q138" s="32" t="n"/>
      <c r="R138" s="4" t="n"/>
      <c r="S138" s="13" t="n"/>
      <c r="T138" s="33">
        <f>IFERROR(S138/N138,"")</f>
        <v/>
      </c>
      <c r="U138" s="4" t="n"/>
      <c r="V138" s="4" t="n"/>
      <c r="W138" s="4" t="n"/>
    </row>
    <row r="139">
      <c r="A139" s="30" t="n"/>
      <c r="B139" s="4" t="n"/>
      <c r="C139" s="4" t="n"/>
      <c r="D139" s="4" t="n"/>
      <c r="E139" s="4" t="n"/>
      <c r="F139" s="4" t="n"/>
      <c r="G139" s="31" t="n"/>
      <c r="H139" s="32" t="n"/>
      <c r="I139" s="32" t="n"/>
      <c r="J139" s="32" t="n"/>
      <c r="K139" s="20">
        <f>IF(AND(H139&lt;&gt;"",I139&lt;&gt;""),ABS(H139-I139),"")</f>
        <v/>
      </c>
      <c r="L139" s="33">
        <f>IFERROR(ABS(J139-H139)/K139,"")</f>
        <v/>
      </c>
      <c r="M139" s="4" t="n"/>
      <c r="N139" s="19">
        <f>IF(AND(K139&lt;&gt;"",M139&lt;&gt;""),K139*M139,"")</f>
        <v/>
      </c>
      <c r="O139" s="24">
        <f>IFERROR(N139/$B$3,"")</f>
        <v/>
      </c>
      <c r="P139" s="31" t="n"/>
      <c r="Q139" s="32" t="n"/>
      <c r="R139" s="4" t="n"/>
      <c r="S139" s="13" t="n"/>
      <c r="T139" s="33">
        <f>IFERROR(S139/N139,"")</f>
        <v/>
      </c>
      <c r="U139" s="4" t="n"/>
      <c r="V139" s="4" t="n"/>
      <c r="W139" s="4" t="n"/>
    </row>
    <row r="140">
      <c r="A140" s="30" t="n"/>
      <c r="B140" s="4" t="n"/>
      <c r="C140" s="4" t="n"/>
      <c r="D140" s="4" t="n"/>
      <c r="E140" s="4" t="n"/>
      <c r="F140" s="4" t="n"/>
      <c r="G140" s="31" t="n"/>
      <c r="H140" s="32" t="n"/>
      <c r="I140" s="32" t="n"/>
      <c r="J140" s="32" t="n"/>
      <c r="K140" s="20">
        <f>IF(AND(H140&lt;&gt;"",I140&lt;&gt;""),ABS(H140-I140),"")</f>
        <v/>
      </c>
      <c r="L140" s="33">
        <f>IFERROR(ABS(J140-H140)/K140,"")</f>
        <v/>
      </c>
      <c r="M140" s="4" t="n"/>
      <c r="N140" s="19">
        <f>IF(AND(K140&lt;&gt;"",M140&lt;&gt;""),K140*M140,"")</f>
        <v/>
      </c>
      <c r="O140" s="24">
        <f>IFERROR(N140/$B$3,"")</f>
        <v/>
      </c>
      <c r="P140" s="31" t="n"/>
      <c r="Q140" s="32" t="n"/>
      <c r="R140" s="4" t="n"/>
      <c r="S140" s="13" t="n"/>
      <c r="T140" s="33">
        <f>IFERROR(S140/N140,"")</f>
        <v/>
      </c>
      <c r="U140" s="4" t="n"/>
      <c r="V140" s="4" t="n"/>
      <c r="W140" s="4" t="n"/>
    </row>
    <row r="141">
      <c r="A141" s="30" t="n"/>
      <c r="B141" s="4" t="n"/>
      <c r="C141" s="4" t="n"/>
      <c r="D141" s="4" t="n"/>
      <c r="E141" s="4" t="n"/>
      <c r="F141" s="4" t="n"/>
      <c r="G141" s="31" t="n"/>
      <c r="H141" s="32" t="n"/>
      <c r="I141" s="32" t="n"/>
      <c r="J141" s="32" t="n"/>
      <c r="K141" s="20">
        <f>IF(AND(H141&lt;&gt;"",I141&lt;&gt;""),ABS(H141-I141),"")</f>
        <v/>
      </c>
      <c r="L141" s="33">
        <f>IFERROR(ABS(J141-H141)/K141,"")</f>
        <v/>
      </c>
      <c r="M141" s="4" t="n"/>
      <c r="N141" s="19">
        <f>IF(AND(K141&lt;&gt;"",M141&lt;&gt;""),K141*M141,"")</f>
        <v/>
      </c>
      <c r="O141" s="24">
        <f>IFERROR(N141/$B$3,"")</f>
        <v/>
      </c>
      <c r="P141" s="31" t="n"/>
      <c r="Q141" s="32" t="n"/>
      <c r="R141" s="4" t="n"/>
      <c r="S141" s="13" t="n"/>
      <c r="T141" s="33">
        <f>IFERROR(S141/N141,"")</f>
        <v/>
      </c>
      <c r="U141" s="4" t="n"/>
      <c r="V141" s="4" t="n"/>
      <c r="W141" s="4" t="n"/>
    </row>
    <row r="142">
      <c r="A142" s="30" t="n"/>
      <c r="B142" s="4" t="n"/>
      <c r="C142" s="4" t="n"/>
      <c r="D142" s="4" t="n"/>
      <c r="E142" s="4" t="n"/>
      <c r="F142" s="4" t="n"/>
      <c r="G142" s="31" t="n"/>
      <c r="H142" s="32" t="n"/>
      <c r="I142" s="32" t="n"/>
      <c r="J142" s="32" t="n"/>
      <c r="K142" s="20">
        <f>IF(AND(H142&lt;&gt;"",I142&lt;&gt;""),ABS(H142-I142),"")</f>
        <v/>
      </c>
      <c r="L142" s="33">
        <f>IFERROR(ABS(J142-H142)/K142,"")</f>
        <v/>
      </c>
      <c r="M142" s="4" t="n"/>
      <c r="N142" s="19">
        <f>IF(AND(K142&lt;&gt;"",M142&lt;&gt;""),K142*M142,"")</f>
        <v/>
      </c>
      <c r="O142" s="24">
        <f>IFERROR(N142/$B$3,"")</f>
        <v/>
      </c>
      <c r="P142" s="31" t="n"/>
      <c r="Q142" s="32" t="n"/>
      <c r="R142" s="4" t="n"/>
      <c r="S142" s="13" t="n"/>
      <c r="T142" s="33">
        <f>IFERROR(S142/N142,"")</f>
        <v/>
      </c>
      <c r="U142" s="4" t="n"/>
      <c r="V142" s="4" t="n"/>
      <c r="W142" s="4" t="n"/>
    </row>
    <row r="143">
      <c r="A143" s="30" t="n"/>
      <c r="B143" s="4" t="n"/>
      <c r="C143" s="4" t="n"/>
      <c r="D143" s="4" t="n"/>
      <c r="E143" s="4" t="n"/>
      <c r="F143" s="4" t="n"/>
      <c r="G143" s="31" t="n"/>
      <c r="H143" s="32" t="n"/>
      <c r="I143" s="32" t="n"/>
      <c r="J143" s="32" t="n"/>
      <c r="K143" s="20">
        <f>IF(AND(H143&lt;&gt;"",I143&lt;&gt;""),ABS(H143-I143),"")</f>
        <v/>
      </c>
      <c r="L143" s="33">
        <f>IFERROR(ABS(J143-H143)/K143,"")</f>
        <v/>
      </c>
      <c r="M143" s="4" t="n"/>
      <c r="N143" s="19">
        <f>IF(AND(K143&lt;&gt;"",M143&lt;&gt;""),K143*M143,"")</f>
        <v/>
      </c>
      <c r="O143" s="24">
        <f>IFERROR(N143/$B$3,"")</f>
        <v/>
      </c>
      <c r="P143" s="31" t="n"/>
      <c r="Q143" s="32" t="n"/>
      <c r="R143" s="4" t="n"/>
      <c r="S143" s="13" t="n"/>
      <c r="T143" s="33">
        <f>IFERROR(S143/N143,"")</f>
        <v/>
      </c>
      <c r="U143" s="4" t="n"/>
      <c r="V143" s="4" t="n"/>
      <c r="W143" s="4" t="n"/>
    </row>
    <row r="144">
      <c r="A144" s="30" t="n"/>
      <c r="B144" s="4" t="n"/>
      <c r="C144" s="4" t="n"/>
      <c r="D144" s="4" t="n"/>
      <c r="E144" s="4" t="n"/>
      <c r="F144" s="4" t="n"/>
      <c r="G144" s="31" t="n"/>
      <c r="H144" s="32" t="n"/>
      <c r="I144" s="32" t="n"/>
      <c r="J144" s="32" t="n"/>
      <c r="K144" s="20">
        <f>IF(AND(H144&lt;&gt;"",I144&lt;&gt;""),ABS(H144-I144),"")</f>
        <v/>
      </c>
      <c r="L144" s="33">
        <f>IFERROR(ABS(J144-H144)/K144,"")</f>
        <v/>
      </c>
      <c r="M144" s="4" t="n"/>
      <c r="N144" s="19">
        <f>IF(AND(K144&lt;&gt;"",M144&lt;&gt;""),K144*M144,"")</f>
        <v/>
      </c>
      <c r="O144" s="24">
        <f>IFERROR(N144/$B$3,"")</f>
        <v/>
      </c>
      <c r="P144" s="31" t="n"/>
      <c r="Q144" s="32" t="n"/>
      <c r="R144" s="4" t="n"/>
      <c r="S144" s="13" t="n"/>
      <c r="T144" s="33">
        <f>IFERROR(S144/N144,"")</f>
        <v/>
      </c>
      <c r="U144" s="4" t="n"/>
      <c r="V144" s="4" t="n"/>
      <c r="W144" s="4" t="n"/>
    </row>
    <row r="145">
      <c r="A145" s="30" t="n"/>
      <c r="B145" s="4" t="n"/>
      <c r="C145" s="4" t="n"/>
      <c r="D145" s="4" t="n"/>
      <c r="E145" s="4" t="n"/>
      <c r="F145" s="4" t="n"/>
      <c r="G145" s="31" t="n"/>
      <c r="H145" s="32" t="n"/>
      <c r="I145" s="32" t="n"/>
      <c r="J145" s="32" t="n"/>
      <c r="K145" s="20">
        <f>IF(AND(H145&lt;&gt;"",I145&lt;&gt;""),ABS(H145-I145),"")</f>
        <v/>
      </c>
      <c r="L145" s="33">
        <f>IFERROR(ABS(J145-H145)/K145,"")</f>
        <v/>
      </c>
      <c r="M145" s="4" t="n"/>
      <c r="N145" s="19">
        <f>IF(AND(K145&lt;&gt;"",M145&lt;&gt;""),K145*M145,"")</f>
        <v/>
      </c>
      <c r="O145" s="24">
        <f>IFERROR(N145/$B$3,"")</f>
        <v/>
      </c>
      <c r="P145" s="31" t="n"/>
      <c r="Q145" s="32" t="n"/>
      <c r="R145" s="4" t="n"/>
      <c r="S145" s="13" t="n"/>
      <c r="T145" s="33">
        <f>IFERROR(S145/N145,"")</f>
        <v/>
      </c>
      <c r="U145" s="4" t="n"/>
      <c r="V145" s="4" t="n"/>
      <c r="W145" s="4" t="n"/>
    </row>
    <row r="146">
      <c r="A146" s="30" t="n"/>
      <c r="B146" s="4" t="n"/>
      <c r="C146" s="4" t="n"/>
      <c r="D146" s="4" t="n"/>
      <c r="E146" s="4" t="n"/>
      <c r="F146" s="4" t="n"/>
      <c r="G146" s="31" t="n"/>
      <c r="H146" s="32" t="n"/>
      <c r="I146" s="32" t="n"/>
      <c r="J146" s="32" t="n"/>
      <c r="K146" s="20">
        <f>IF(AND(H146&lt;&gt;"",I146&lt;&gt;""),ABS(H146-I146),"")</f>
        <v/>
      </c>
      <c r="L146" s="33">
        <f>IFERROR(ABS(J146-H146)/K146,"")</f>
        <v/>
      </c>
      <c r="M146" s="4" t="n"/>
      <c r="N146" s="19">
        <f>IF(AND(K146&lt;&gt;"",M146&lt;&gt;""),K146*M146,"")</f>
        <v/>
      </c>
      <c r="O146" s="24">
        <f>IFERROR(N146/$B$3,"")</f>
        <v/>
      </c>
      <c r="P146" s="31" t="n"/>
      <c r="Q146" s="32" t="n"/>
      <c r="R146" s="4" t="n"/>
      <c r="S146" s="13" t="n"/>
      <c r="T146" s="33">
        <f>IFERROR(S146/N146,"")</f>
        <v/>
      </c>
      <c r="U146" s="4" t="n"/>
      <c r="V146" s="4" t="n"/>
      <c r="W146" s="4" t="n"/>
    </row>
    <row r="147">
      <c r="A147" s="30" t="n"/>
      <c r="B147" s="4" t="n"/>
      <c r="C147" s="4" t="n"/>
      <c r="D147" s="4" t="n"/>
      <c r="E147" s="4" t="n"/>
      <c r="F147" s="4" t="n"/>
      <c r="G147" s="31" t="n"/>
      <c r="H147" s="32" t="n"/>
      <c r="I147" s="32" t="n"/>
      <c r="J147" s="32" t="n"/>
      <c r="K147" s="20">
        <f>IF(AND(H147&lt;&gt;"",I147&lt;&gt;""),ABS(H147-I147),"")</f>
        <v/>
      </c>
      <c r="L147" s="33">
        <f>IFERROR(ABS(J147-H147)/K147,"")</f>
        <v/>
      </c>
      <c r="M147" s="4" t="n"/>
      <c r="N147" s="19">
        <f>IF(AND(K147&lt;&gt;"",M147&lt;&gt;""),K147*M147,"")</f>
        <v/>
      </c>
      <c r="O147" s="24">
        <f>IFERROR(N147/$B$3,"")</f>
        <v/>
      </c>
      <c r="P147" s="31" t="n"/>
      <c r="Q147" s="32" t="n"/>
      <c r="R147" s="4" t="n"/>
      <c r="S147" s="13" t="n"/>
      <c r="T147" s="33">
        <f>IFERROR(S147/N147,"")</f>
        <v/>
      </c>
      <c r="U147" s="4" t="n"/>
      <c r="V147" s="4" t="n"/>
      <c r="W147" s="4" t="n"/>
    </row>
    <row r="148">
      <c r="A148" s="30" t="n"/>
      <c r="B148" s="4" t="n"/>
      <c r="C148" s="4" t="n"/>
      <c r="D148" s="4" t="n"/>
      <c r="E148" s="4" t="n"/>
      <c r="F148" s="4" t="n"/>
      <c r="G148" s="31" t="n"/>
      <c r="H148" s="32" t="n"/>
      <c r="I148" s="32" t="n"/>
      <c r="J148" s="32" t="n"/>
      <c r="K148" s="20">
        <f>IF(AND(H148&lt;&gt;"",I148&lt;&gt;""),ABS(H148-I148),"")</f>
        <v/>
      </c>
      <c r="L148" s="33">
        <f>IFERROR(ABS(J148-H148)/K148,"")</f>
        <v/>
      </c>
      <c r="M148" s="4" t="n"/>
      <c r="N148" s="19">
        <f>IF(AND(K148&lt;&gt;"",M148&lt;&gt;""),K148*M148,"")</f>
        <v/>
      </c>
      <c r="O148" s="24">
        <f>IFERROR(N148/$B$3,"")</f>
        <v/>
      </c>
      <c r="P148" s="31" t="n"/>
      <c r="Q148" s="32" t="n"/>
      <c r="R148" s="4" t="n"/>
      <c r="S148" s="13" t="n"/>
      <c r="T148" s="33">
        <f>IFERROR(S148/N148,"")</f>
        <v/>
      </c>
      <c r="U148" s="4" t="n"/>
      <c r="V148" s="4" t="n"/>
      <c r="W148" s="4" t="n"/>
    </row>
    <row r="149">
      <c r="A149" s="30" t="n"/>
      <c r="B149" s="4" t="n"/>
      <c r="C149" s="4" t="n"/>
      <c r="D149" s="4" t="n"/>
      <c r="E149" s="4" t="n"/>
      <c r="F149" s="4" t="n"/>
      <c r="G149" s="31" t="n"/>
      <c r="H149" s="32" t="n"/>
      <c r="I149" s="32" t="n"/>
      <c r="J149" s="32" t="n"/>
      <c r="K149" s="20">
        <f>IF(AND(H149&lt;&gt;"",I149&lt;&gt;""),ABS(H149-I149),"")</f>
        <v/>
      </c>
      <c r="L149" s="33">
        <f>IFERROR(ABS(J149-H149)/K149,"")</f>
        <v/>
      </c>
      <c r="M149" s="4" t="n"/>
      <c r="N149" s="19">
        <f>IF(AND(K149&lt;&gt;"",M149&lt;&gt;""),K149*M149,"")</f>
        <v/>
      </c>
      <c r="O149" s="24">
        <f>IFERROR(N149/$B$3,"")</f>
        <v/>
      </c>
      <c r="P149" s="31" t="n"/>
      <c r="Q149" s="32" t="n"/>
      <c r="R149" s="4" t="n"/>
      <c r="S149" s="13" t="n"/>
      <c r="T149" s="33">
        <f>IFERROR(S149/N149,"")</f>
        <v/>
      </c>
      <c r="U149" s="4" t="n"/>
      <c r="V149" s="4" t="n"/>
      <c r="W149" s="4" t="n"/>
    </row>
    <row r="150">
      <c r="A150" s="30" t="n"/>
      <c r="B150" s="4" t="n"/>
      <c r="C150" s="4" t="n"/>
      <c r="D150" s="4" t="n"/>
      <c r="E150" s="4" t="n"/>
      <c r="F150" s="4" t="n"/>
      <c r="G150" s="31" t="n"/>
      <c r="H150" s="32" t="n"/>
      <c r="I150" s="32" t="n"/>
      <c r="J150" s="32" t="n"/>
      <c r="K150" s="20">
        <f>IF(AND(H150&lt;&gt;"",I150&lt;&gt;""),ABS(H150-I150),"")</f>
        <v/>
      </c>
      <c r="L150" s="33">
        <f>IFERROR(ABS(J150-H150)/K150,"")</f>
        <v/>
      </c>
      <c r="M150" s="4" t="n"/>
      <c r="N150" s="19">
        <f>IF(AND(K150&lt;&gt;"",M150&lt;&gt;""),K150*M150,"")</f>
        <v/>
      </c>
      <c r="O150" s="24">
        <f>IFERROR(N150/$B$3,"")</f>
        <v/>
      </c>
      <c r="P150" s="31" t="n"/>
      <c r="Q150" s="32" t="n"/>
      <c r="R150" s="4" t="n"/>
      <c r="S150" s="13" t="n"/>
      <c r="T150" s="33">
        <f>IFERROR(S150/N150,"")</f>
        <v/>
      </c>
      <c r="U150" s="4" t="n"/>
      <c r="V150" s="4" t="n"/>
      <c r="W150" s="4" t="n"/>
    </row>
    <row r="151">
      <c r="A151" s="30" t="n"/>
      <c r="B151" s="4" t="n"/>
      <c r="C151" s="4" t="n"/>
      <c r="D151" s="4" t="n"/>
      <c r="E151" s="4" t="n"/>
      <c r="F151" s="4" t="n"/>
      <c r="G151" s="31" t="n"/>
      <c r="H151" s="32" t="n"/>
      <c r="I151" s="32" t="n"/>
      <c r="J151" s="32" t="n"/>
      <c r="K151" s="20">
        <f>IF(AND(H151&lt;&gt;"",I151&lt;&gt;""),ABS(H151-I151),"")</f>
        <v/>
      </c>
      <c r="L151" s="33">
        <f>IFERROR(ABS(J151-H151)/K151,"")</f>
        <v/>
      </c>
      <c r="M151" s="4" t="n"/>
      <c r="N151" s="19">
        <f>IF(AND(K151&lt;&gt;"",M151&lt;&gt;""),K151*M151,"")</f>
        <v/>
      </c>
      <c r="O151" s="24">
        <f>IFERROR(N151/$B$3,"")</f>
        <v/>
      </c>
      <c r="P151" s="31" t="n"/>
      <c r="Q151" s="32" t="n"/>
      <c r="R151" s="4" t="n"/>
      <c r="S151" s="13" t="n"/>
      <c r="T151" s="33">
        <f>IFERROR(S151/N151,"")</f>
        <v/>
      </c>
      <c r="U151" s="4" t="n"/>
      <c r="V151" s="4" t="n"/>
      <c r="W151" s="4" t="n"/>
    </row>
    <row r="152">
      <c r="A152" s="30" t="n"/>
      <c r="B152" s="4" t="n"/>
      <c r="C152" s="4" t="n"/>
      <c r="D152" s="4" t="n"/>
      <c r="E152" s="4" t="n"/>
      <c r="F152" s="4" t="n"/>
      <c r="G152" s="31" t="n"/>
      <c r="H152" s="32" t="n"/>
      <c r="I152" s="32" t="n"/>
      <c r="J152" s="32" t="n"/>
      <c r="K152" s="20">
        <f>IF(AND(H152&lt;&gt;"",I152&lt;&gt;""),ABS(H152-I152),"")</f>
        <v/>
      </c>
      <c r="L152" s="33">
        <f>IFERROR(ABS(J152-H152)/K152,"")</f>
        <v/>
      </c>
      <c r="M152" s="4" t="n"/>
      <c r="N152" s="19">
        <f>IF(AND(K152&lt;&gt;"",M152&lt;&gt;""),K152*M152,"")</f>
        <v/>
      </c>
      <c r="O152" s="24">
        <f>IFERROR(N152/$B$3,"")</f>
        <v/>
      </c>
      <c r="P152" s="31" t="n"/>
      <c r="Q152" s="32" t="n"/>
      <c r="R152" s="4" t="n"/>
      <c r="S152" s="13" t="n"/>
      <c r="T152" s="33">
        <f>IFERROR(S152/N152,"")</f>
        <v/>
      </c>
      <c r="U152" s="4" t="n"/>
      <c r="V152" s="4" t="n"/>
      <c r="W152" s="4" t="n"/>
    </row>
    <row r="153">
      <c r="A153" s="30" t="n"/>
      <c r="B153" s="4" t="n"/>
      <c r="C153" s="4" t="n"/>
      <c r="D153" s="4" t="n"/>
      <c r="E153" s="4" t="n"/>
      <c r="F153" s="4" t="n"/>
      <c r="G153" s="31" t="n"/>
      <c r="H153" s="32" t="n"/>
      <c r="I153" s="32" t="n"/>
      <c r="J153" s="32" t="n"/>
      <c r="K153" s="20">
        <f>IF(AND(H153&lt;&gt;"",I153&lt;&gt;""),ABS(H153-I153),"")</f>
        <v/>
      </c>
      <c r="L153" s="33">
        <f>IFERROR(ABS(J153-H153)/K153,"")</f>
        <v/>
      </c>
      <c r="M153" s="4" t="n"/>
      <c r="N153" s="19">
        <f>IF(AND(K153&lt;&gt;"",M153&lt;&gt;""),K153*M153,"")</f>
        <v/>
      </c>
      <c r="O153" s="24">
        <f>IFERROR(N153/$B$3,"")</f>
        <v/>
      </c>
      <c r="P153" s="31" t="n"/>
      <c r="Q153" s="32" t="n"/>
      <c r="R153" s="4" t="n"/>
      <c r="S153" s="13" t="n"/>
      <c r="T153" s="33">
        <f>IFERROR(S153/N153,"")</f>
        <v/>
      </c>
      <c r="U153" s="4" t="n"/>
      <c r="V153" s="4" t="n"/>
      <c r="W153" s="4" t="n"/>
    </row>
    <row r="154">
      <c r="A154" s="30" t="n"/>
      <c r="B154" s="4" t="n"/>
      <c r="C154" s="4" t="n"/>
      <c r="D154" s="4" t="n"/>
      <c r="E154" s="4" t="n"/>
      <c r="F154" s="4" t="n"/>
      <c r="G154" s="31" t="n"/>
      <c r="H154" s="32" t="n"/>
      <c r="I154" s="32" t="n"/>
      <c r="J154" s="32" t="n"/>
      <c r="K154" s="20">
        <f>IF(AND(H154&lt;&gt;"",I154&lt;&gt;""),ABS(H154-I154),"")</f>
        <v/>
      </c>
      <c r="L154" s="33">
        <f>IFERROR(ABS(J154-H154)/K154,"")</f>
        <v/>
      </c>
      <c r="M154" s="4" t="n"/>
      <c r="N154" s="19">
        <f>IF(AND(K154&lt;&gt;"",M154&lt;&gt;""),K154*M154,"")</f>
        <v/>
      </c>
      <c r="O154" s="24">
        <f>IFERROR(N154/$B$3,"")</f>
        <v/>
      </c>
      <c r="P154" s="31" t="n"/>
      <c r="Q154" s="32" t="n"/>
      <c r="R154" s="4" t="n"/>
      <c r="S154" s="13" t="n"/>
      <c r="T154" s="33">
        <f>IFERROR(S154/N154,"")</f>
        <v/>
      </c>
      <c r="U154" s="4" t="n"/>
      <c r="V154" s="4" t="n"/>
      <c r="W154" s="4" t="n"/>
    </row>
    <row r="155">
      <c r="A155" s="30" t="n"/>
      <c r="B155" s="4" t="n"/>
      <c r="C155" s="4" t="n"/>
      <c r="D155" s="4" t="n"/>
      <c r="E155" s="4" t="n"/>
      <c r="F155" s="4" t="n"/>
      <c r="G155" s="31" t="n"/>
      <c r="H155" s="32" t="n"/>
      <c r="I155" s="32" t="n"/>
      <c r="J155" s="32" t="n"/>
      <c r="K155" s="20">
        <f>IF(AND(H155&lt;&gt;"",I155&lt;&gt;""),ABS(H155-I155),"")</f>
        <v/>
      </c>
      <c r="L155" s="33">
        <f>IFERROR(ABS(J155-H155)/K155,"")</f>
        <v/>
      </c>
      <c r="M155" s="4" t="n"/>
      <c r="N155" s="19">
        <f>IF(AND(K155&lt;&gt;"",M155&lt;&gt;""),K155*M155,"")</f>
        <v/>
      </c>
      <c r="O155" s="24">
        <f>IFERROR(N155/$B$3,"")</f>
        <v/>
      </c>
      <c r="P155" s="31" t="n"/>
      <c r="Q155" s="32" t="n"/>
      <c r="R155" s="4" t="n"/>
      <c r="S155" s="13" t="n"/>
      <c r="T155" s="33">
        <f>IFERROR(S155/N155,"")</f>
        <v/>
      </c>
      <c r="U155" s="4" t="n"/>
      <c r="V155" s="4" t="n"/>
      <c r="W155" s="4" t="n"/>
    </row>
    <row r="156">
      <c r="A156" s="30" t="n"/>
      <c r="B156" s="4" t="n"/>
      <c r="C156" s="4" t="n"/>
      <c r="D156" s="4" t="n"/>
      <c r="E156" s="4" t="n"/>
      <c r="F156" s="4" t="n"/>
      <c r="G156" s="31" t="n"/>
      <c r="H156" s="32" t="n"/>
      <c r="I156" s="32" t="n"/>
      <c r="J156" s="32" t="n"/>
      <c r="K156" s="20">
        <f>IF(AND(H156&lt;&gt;"",I156&lt;&gt;""),ABS(H156-I156),"")</f>
        <v/>
      </c>
      <c r="L156" s="33">
        <f>IFERROR(ABS(J156-H156)/K156,"")</f>
        <v/>
      </c>
      <c r="M156" s="4" t="n"/>
      <c r="N156" s="19">
        <f>IF(AND(K156&lt;&gt;"",M156&lt;&gt;""),K156*M156,"")</f>
        <v/>
      </c>
      <c r="O156" s="24">
        <f>IFERROR(N156/$B$3,"")</f>
        <v/>
      </c>
      <c r="P156" s="31" t="n"/>
      <c r="Q156" s="32" t="n"/>
      <c r="R156" s="4" t="n"/>
      <c r="S156" s="13" t="n"/>
      <c r="T156" s="33">
        <f>IFERROR(S156/N156,"")</f>
        <v/>
      </c>
      <c r="U156" s="4" t="n"/>
      <c r="V156" s="4" t="n"/>
      <c r="W156" s="4" t="n"/>
    </row>
    <row r="157">
      <c r="A157" s="30" t="n"/>
      <c r="B157" s="4" t="n"/>
      <c r="C157" s="4" t="n"/>
      <c r="D157" s="4" t="n"/>
      <c r="E157" s="4" t="n"/>
      <c r="F157" s="4" t="n"/>
      <c r="G157" s="31" t="n"/>
      <c r="H157" s="32" t="n"/>
      <c r="I157" s="32" t="n"/>
      <c r="J157" s="32" t="n"/>
      <c r="K157" s="20">
        <f>IF(AND(H157&lt;&gt;"",I157&lt;&gt;""),ABS(H157-I157),"")</f>
        <v/>
      </c>
      <c r="L157" s="33">
        <f>IFERROR(ABS(J157-H157)/K157,"")</f>
        <v/>
      </c>
      <c r="M157" s="4" t="n"/>
      <c r="N157" s="19">
        <f>IF(AND(K157&lt;&gt;"",M157&lt;&gt;""),K157*M157,"")</f>
        <v/>
      </c>
      <c r="O157" s="24">
        <f>IFERROR(N157/$B$3,"")</f>
        <v/>
      </c>
      <c r="P157" s="31" t="n"/>
      <c r="Q157" s="32" t="n"/>
      <c r="R157" s="4" t="n"/>
      <c r="S157" s="13" t="n"/>
      <c r="T157" s="33">
        <f>IFERROR(S157/N157,"")</f>
        <v/>
      </c>
      <c r="U157" s="4" t="n"/>
      <c r="V157" s="4" t="n"/>
      <c r="W157" s="4" t="n"/>
    </row>
    <row r="158">
      <c r="A158" s="30" t="n"/>
      <c r="B158" s="4" t="n"/>
      <c r="C158" s="4" t="n"/>
      <c r="D158" s="4" t="n"/>
      <c r="E158" s="4" t="n"/>
      <c r="F158" s="4" t="n"/>
      <c r="G158" s="31" t="n"/>
      <c r="H158" s="32" t="n"/>
      <c r="I158" s="32" t="n"/>
      <c r="J158" s="32" t="n"/>
      <c r="K158" s="20">
        <f>IF(AND(H158&lt;&gt;"",I158&lt;&gt;""),ABS(H158-I158),"")</f>
        <v/>
      </c>
      <c r="L158" s="33">
        <f>IFERROR(ABS(J158-H158)/K158,"")</f>
        <v/>
      </c>
      <c r="M158" s="4" t="n"/>
      <c r="N158" s="19">
        <f>IF(AND(K158&lt;&gt;"",M158&lt;&gt;""),K158*M158,"")</f>
        <v/>
      </c>
      <c r="O158" s="24">
        <f>IFERROR(N158/$B$3,"")</f>
        <v/>
      </c>
      <c r="P158" s="31" t="n"/>
      <c r="Q158" s="32" t="n"/>
      <c r="R158" s="4" t="n"/>
      <c r="S158" s="13" t="n"/>
      <c r="T158" s="33">
        <f>IFERROR(S158/N158,"")</f>
        <v/>
      </c>
      <c r="U158" s="4" t="n"/>
      <c r="V158" s="4" t="n"/>
      <c r="W158" s="4" t="n"/>
    </row>
    <row r="159">
      <c r="A159" s="30" t="n"/>
      <c r="B159" s="4" t="n"/>
      <c r="C159" s="4" t="n"/>
      <c r="D159" s="4" t="n"/>
      <c r="E159" s="4" t="n"/>
      <c r="F159" s="4" t="n"/>
      <c r="G159" s="31" t="n"/>
      <c r="H159" s="32" t="n"/>
      <c r="I159" s="32" t="n"/>
      <c r="J159" s="32" t="n"/>
      <c r="K159" s="20">
        <f>IF(AND(H159&lt;&gt;"",I159&lt;&gt;""),ABS(H159-I159),"")</f>
        <v/>
      </c>
      <c r="L159" s="33">
        <f>IFERROR(ABS(J159-H159)/K159,"")</f>
        <v/>
      </c>
      <c r="M159" s="4" t="n"/>
      <c r="N159" s="19">
        <f>IF(AND(K159&lt;&gt;"",M159&lt;&gt;""),K159*M159,"")</f>
        <v/>
      </c>
      <c r="O159" s="24">
        <f>IFERROR(N159/$B$3,"")</f>
        <v/>
      </c>
      <c r="P159" s="31" t="n"/>
      <c r="Q159" s="32" t="n"/>
      <c r="R159" s="4" t="n"/>
      <c r="S159" s="13" t="n"/>
      <c r="T159" s="33">
        <f>IFERROR(S159/N159,"")</f>
        <v/>
      </c>
      <c r="U159" s="4" t="n"/>
      <c r="V159" s="4" t="n"/>
      <c r="W159" s="4" t="n"/>
    </row>
    <row r="160">
      <c r="A160" s="30" t="n"/>
      <c r="B160" s="4" t="n"/>
      <c r="C160" s="4" t="n"/>
      <c r="D160" s="4" t="n"/>
      <c r="E160" s="4" t="n"/>
      <c r="F160" s="4" t="n"/>
      <c r="G160" s="31" t="n"/>
      <c r="H160" s="32" t="n"/>
      <c r="I160" s="32" t="n"/>
      <c r="J160" s="32" t="n"/>
      <c r="K160" s="20">
        <f>IF(AND(H160&lt;&gt;"",I160&lt;&gt;""),ABS(H160-I160),"")</f>
        <v/>
      </c>
      <c r="L160" s="33">
        <f>IFERROR(ABS(J160-H160)/K160,"")</f>
        <v/>
      </c>
      <c r="M160" s="4" t="n"/>
      <c r="N160" s="19">
        <f>IF(AND(K160&lt;&gt;"",M160&lt;&gt;""),K160*M160,"")</f>
        <v/>
      </c>
      <c r="O160" s="24">
        <f>IFERROR(N160/$B$3,"")</f>
        <v/>
      </c>
      <c r="P160" s="31" t="n"/>
      <c r="Q160" s="32" t="n"/>
      <c r="R160" s="4" t="n"/>
      <c r="S160" s="13" t="n"/>
      <c r="T160" s="33">
        <f>IFERROR(S160/N160,"")</f>
        <v/>
      </c>
      <c r="U160" s="4" t="n"/>
      <c r="V160" s="4" t="n"/>
      <c r="W160" s="4" t="n"/>
    </row>
    <row r="161">
      <c r="A161" s="30" t="n"/>
      <c r="B161" s="4" t="n"/>
      <c r="C161" s="4" t="n"/>
      <c r="D161" s="4" t="n"/>
      <c r="E161" s="4" t="n"/>
      <c r="F161" s="4" t="n"/>
      <c r="G161" s="31" t="n"/>
      <c r="H161" s="32" t="n"/>
      <c r="I161" s="32" t="n"/>
      <c r="J161" s="32" t="n"/>
      <c r="K161" s="20">
        <f>IF(AND(H161&lt;&gt;"",I161&lt;&gt;""),ABS(H161-I161),"")</f>
        <v/>
      </c>
      <c r="L161" s="33">
        <f>IFERROR(ABS(J161-H161)/K161,"")</f>
        <v/>
      </c>
      <c r="M161" s="4" t="n"/>
      <c r="N161" s="19">
        <f>IF(AND(K161&lt;&gt;"",M161&lt;&gt;""),K161*M161,"")</f>
        <v/>
      </c>
      <c r="O161" s="24">
        <f>IFERROR(N161/$B$3,"")</f>
        <v/>
      </c>
      <c r="P161" s="31" t="n"/>
      <c r="Q161" s="32" t="n"/>
      <c r="R161" s="4" t="n"/>
      <c r="S161" s="13" t="n"/>
      <c r="T161" s="33">
        <f>IFERROR(S161/N161,"")</f>
        <v/>
      </c>
      <c r="U161" s="4" t="n"/>
      <c r="V161" s="4" t="n"/>
      <c r="W161" s="4" t="n"/>
    </row>
    <row r="162">
      <c r="A162" s="30" t="n"/>
      <c r="B162" s="4" t="n"/>
      <c r="C162" s="4" t="n"/>
      <c r="D162" s="4" t="n"/>
      <c r="E162" s="4" t="n"/>
      <c r="F162" s="4" t="n"/>
      <c r="G162" s="31" t="n"/>
      <c r="H162" s="32" t="n"/>
      <c r="I162" s="32" t="n"/>
      <c r="J162" s="32" t="n"/>
      <c r="K162" s="20">
        <f>IF(AND(H162&lt;&gt;"",I162&lt;&gt;""),ABS(H162-I162),"")</f>
        <v/>
      </c>
      <c r="L162" s="33">
        <f>IFERROR(ABS(J162-H162)/K162,"")</f>
        <v/>
      </c>
      <c r="M162" s="4" t="n"/>
      <c r="N162" s="19">
        <f>IF(AND(K162&lt;&gt;"",M162&lt;&gt;""),K162*M162,"")</f>
        <v/>
      </c>
      <c r="O162" s="24">
        <f>IFERROR(N162/$B$3,"")</f>
        <v/>
      </c>
      <c r="P162" s="31" t="n"/>
      <c r="Q162" s="32" t="n"/>
      <c r="R162" s="4" t="n"/>
      <c r="S162" s="13" t="n"/>
      <c r="T162" s="33">
        <f>IFERROR(S162/N162,"")</f>
        <v/>
      </c>
      <c r="U162" s="4" t="n"/>
      <c r="V162" s="4" t="n"/>
      <c r="W162" s="4" t="n"/>
    </row>
    <row r="163">
      <c r="A163" s="30" t="n"/>
      <c r="B163" s="4" t="n"/>
      <c r="C163" s="4" t="n"/>
      <c r="D163" s="4" t="n"/>
      <c r="E163" s="4" t="n"/>
      <c r="F163" s="4" t="n"/>
      <c r="G163" s="31" t="n"/>
      <c r="H163" s="32" t="n"/>
      <c r="I163" s="32" t="n"/>
      <c r="J163" s="32" t="n"/>
      <c r="K163" s="20">
        <f>IF(AND(H163&lt;&gt;"",I163&lt;&gt;""),ABS(H163-I163),"")</f>
        <v/>
      </c>
      <c r="L163" s="33">
        <f>IFERROR(ABS(J163-H163)/K163,"")</f>
        <v/>
      </c>
      <c r="M163" s="4" t="n"/>
      <c r="N163" s="19">
        <f>IF(AND(K163&lt;&gt;"",M163&lt;&gt;""),K163*M163,"")</f>
        <v/>
      </c>
      <c r="O163" s="24">
        <f>IFERROR(N163/$B$3,"")</f>
        <v/>
      </c>
      <c r="P163" s="31" t="n"/>
      <c r="Q163" s="32" t="n"/>
      <c r="R163" s="4" t="n"/>
      <c r="S163" s="13" t="n"/>
      <c r="T163" s="33">
        <f>IFERROR(S163/N163,"")</f>
        <v/>
      </c>
      <c r="U163" s="4" t="n"/>
      <c r="V163" s="4" t="n"/>
      <c r="W163" s="4" t="n"/>
    </row>
    <row r="164">
      <c r="A164" s="30" t="n"/>
      <c r="B164" s="4" t="n"/>
      <c r="C164" s="4" t="n"/>
      <c r="D164" s="4" t="n"/>
      <c r="E164" s="4" t="n"/>
      <c r="F164" s="4" t="n"/>
      <c r="G164" s="31" t="n"/>
      <c r="H164" s="32" t="n"/>
      <c r="I164" s="32" t="n"/>
      <c r="J164" s="32" t="n"/>
      <c r="K164" s="20">
        <f>IF(AND(H164&lt;&gt;"",I164&lt;&gt;""),ABS(H164-I164),"")</f>
        <v/>
      </c>
      <c r="L164" s="33">
        <f>IFERROR(ABS(J164-H164)/K164,"")</f>
        <v/>
      </c>
      <c r="M164" s="4" t="n"/>
      <c r="N164" s="19">
        <f>IF(AND(K164&lt;&gt;"",M164&lt;&gt;""),K164*M164,"")</f>
        <v/>
      </c>
      <c r="O164" s="24">
        <f>IFERROR(N164/$B$3,"")</f>
        <v/>
      </c>
      <c r="P164" s="31" t="n"/>
      <c r="Q164" s="32" t="n"/>
      <c r="R164" s="4" t="n"/>
      <c r="S164" s="13" t="n"/>
      <c r="T164" s="33">
        <f>IFERROR(S164/N164,"")</f>
        <v/>
      </c>
      <c r="U164" s="4" t="n"/>
      <c r="V164" s="4" t="n"/>
      <c r="W164" s="4" t="n"/>
    </row>
    <row r="165">
      <c r="A165" s="30" t="n"/>
      <c r="B165" s="4" t="n"/>
      <c r="C165" s="4" t="n"/>
      <c r="D165" s="4" t="n"/>
      <c r="E165" s="4" t="n"/>
      <c r="F165" s="4" t="n"/>
      <c r="G165" s="31" t="n"/>
      <c r="H165" s="32" t="n"/>
      <c r="I165" s="32" t="n"/>
      <c r="J165" s="32" t="n"/>
      <c r="K165" s="20">
        <f>IF(AND(H165&lt;&gt;"",I165&lt;&gt;""),ABS(H165-I165),"")</f>
        <v/>
      </c>
      <c r="L165" s="33">
        <f>IFERROR(ABS(J165-H165)/K165,"")</f>
        <v/>
      </c>
      <c r="M165" s="4" t="n"/>
      <c r="N165" s="19">
        <f>IF(AND(K165&lt;&gt;"",M165&lt;&gt;""),K165*M165,"")</f>
        <v/>
      </c>
      <c r="O165" s="24">
        <f>IFERROR(N165/$B$3,"")</f>
        <v/>
      </c>
      <c r="P165" s="31" t="n"/>
      <c r="Q165" s="32" t="n"/>
      <c r="R165" s="4" t="n"/>
      <c r="S165" s="13" t="n"/>
      <c r="T165" s="33">
        <f>IFERROR(S165/N165,"")</f>
        <v/>
      </c>
      <c r="U165" s="4" t="n"/>
      <c r="V165" s="4" t="n"/>
      <c r="W165" s="4" t="n"/>
    </row>
    <row r="166">
      <c r="A166" s="30" t="n"/>
      <c r="B166" s="4" t="n"/>
      <c r="C166" s="4" t="n"/>
      <c r="D166" s="4" t="n"/>
      <c r="E166" s="4" t="n"/>
      <c r="F166" s="4" t="n"/>
      <c r="G166" s="31" t="n"/>
      <c r="H166" s="32" t="n"/>
      <c r="I166" s="32" t="n"/>
      <c r="J166" s="32" t="n"/>
      <c r="K166" s="20">
        <f>IF(AND(H166&lt;&gt;"",I166&lt;&gt;""),ABS(H166-I166),"")</f>
        <v/>
      </c>
      <c r="L166" s="33">
        <f>IFERROR(ABS(J166-H166)/K166,"")</f>
        <v/>
      </c>
      <c r="M166" s="4" t="n"/>
      <c r="N166" s="19">
        <f>IF(AND(K166&lt;&gt;"",M166&lt;&gt;""),K166*M166,"")</f>
        <v/>
      </c>
      <c r="O166" s="24">
        <f>IFERROR(N166/$B$3,"")</f>
        <v/>
      </c>
      <c r="P166" s="31" t="n"/>
      <c r="Q166" s="32" t="n"/>
      <c r="R166" s="4" t="n"/>
      <c r="S166" s="13" t="n"/>
      <c r="T166" s="33">
        <f>IFERROR(S166/N166,"")</f>
        <v/>
      </c>
      <c r="U166" s="4" t="n"/>
      <c r="V166" s="4" t="n"/>
      <c r="W166" s="4" t="n"/>
    </row>
    <row r="167">
      <c r="A167" s="30" t="n"/>
      <c r="B167" s="4" t="n"/>
      <c r="C167" s="4" t="n"/>
      <c r="D167" s="4" t="n"/>
      <c r="E167" s="4" t="n"/>
      <c r="F167" s="4" t="n"/>
      <c r="G167" s="31" t="n"/>
      <c r="H167" s="32" t="n"/>
      <c r="I167" s="32" t="n"/>
      <c r="J167" s="32" t="n"/>
      <c r="K167" s="20">
        <f>IF(AND(H167&lt;&gt;"",I167&lt;&gt;""),ABS(H167-I167),"")</f>
        <v/>
      </c>
      <c r="L167" s="33">
        <f>IFERROR(ABS(J167-H167)/K167,"")</f>
        <v/>
      </c>
      <c r="M167" s="4" t="n"/>
      <c r="N167" s="19">
        <f>IF(AND(K167&lt;&gt;"",M167&lt;&gt;""),K167*M167,"")</f>
        <v/>
      </c>
      <c r="O167" s="24">
        <f>IFERROR(N167/$B$3,"")</f>
        <v/>
      </c>
      <c r="P167" s="31" t="n"/>
      <c r="Q167" s="32" t="n"/>
      <c r="R167" s="4" t="n"/>
      <c r="S167" s="13" t="n"/>
      <c r="T167" s="33">
        <f>IFERROR(S167/N167,"")</f>
        <v/>
      </c>
      <c r="U167" s="4" t="n"/>
      <c r="V167" s="4" t="n"/>
      <c r="W167" s="4" t="n"/>
    </row>
    <row r="168">
      <c r="A168" s="30" t="n"/>
      <c r="B168" s="4" t="n"/>
      <c r="C168" s="4" t="n"/>
      <c r="D168" s="4" t="n"/>
      <c r="E168" s="4" t="n"/>
      <c r="F168" s="4" t="n"/>
      <c r="G168" s="31" t="n"/>
      <c r="H168" s="32" t="n"/>
      <c r="I168" s="32" t="n"/>
      <c r="J168" s="32" t="n"/>
      <c r="K168" s="20">
        <f>IF(AND(H168&lt;&gt;"",I168&lt;&gt;""),ABS(H168-I168),"")</f>
        <v/>
      </c>
      <c r="L168" s="33">
        <f>IFERROR(ABS(J168-H168)/K168,"")</f>
        <v/>
      </c>
      <c r="M168" s="4" t="n"/>
      <c r="N168" s="19">
        <f>IF(AND(K168&lt;&gt;"",M168&lt;&gt;""),K168*M168,"")</f>
        <v/>
      </c>
      <c r="O168" s="24">
        <f>IFERROR(N168/$B$3,"")</f>
        <v/>
      </c>
      <c r="P168" s="31" t="n"/>
      <c r="Q168" s="32" t="n"/>
      <c r="R168" s="4" t="n"/>
      <c r="S168" s="13" t="n"/>
      <c r="T168" s="33">
        <f>IFERROR(S168/N168,"")</f>
        <v/>
      </c>
      <c r="U168" s="4" t="n"/>
      <c r="V168" s="4" t="n"/>
      <c r="W168" s="4" t="n"/>
    </row>
    <row r="169">
      <c r="A169" s="30" t="n"/>
      <c r="B169" s="4" t="n"/>
      <c r="C169" s="4" t="n"/>
      <c r="D169" s="4" t="n"/>
      <c r="E169" s="4" t="n"/>
      <c r="F169" s="4" t="n"/>
      <c r="G169" s="31" t="n"/>
      <c r="H169" s="32" t="n"/>
      <c r="I169" s="32" t="n"/>
      <c r="J169" s="32" t="n"/>
      <c r="K169" s="20">
        <f>IF(AND(H169&lt;&gt;"",I169&lt;&gt;""),ABS(H169-I169),"")</f>
        <v/>
      </c>
      <c r="L169" s="33">
        <f>IFERROR(ABS(J169-H169)/K169,"")</f>
        <v/>
      </c>
      <c r="M169" s="4" t="n"/>
      <c r="N169" s="19">
        <f>IF(AND(K169&lt;&gt;"",M169&lt;&gt;""),K169*M169,"")</f>
        <v/>
      </c>
      <c r="O169" s="24">
        <f>IFERROR(N169/$B$3,"")</f>
        <v/>
      </c>
      <c r="P169" s="31" t="n"/>
      <c r="Q169" s="32" t="n"/>
      <c r="R169" s="4" t="n"/>
      <c r="S169" s="13" t="n"/>
      <c r="T169" s="33">
        <f>IFERROR(S169/N169,"")</f>
        <v/>
      </c>
      <c r="U169" s="4" t="n"/>
      <c r="V169" s="4" t="n"/>
      <c r="W169" s="4" t="n"/>
    </row>
    <row r="170">
      <c r="A170" s="30" t="n"/>
      <c r="B170" s="4" t="n"/>
      <c r="C170" s="4" t="n"/>
      <c r="D170" s="4" t="n"/>
      <c r="E170" s="4" t="n"/>
      <c r="F170" s="4" t="n"/>
      <c r="G170" s="31" t="n"/>
      <c r="H170" s="32" t="n"/>
      <c r="I170" s="32" t="n"/>
      <c r="J170" s="32" t="n"/>
      <c r="K170" s="20">
        <f>IF(AND(H170&lt;&gt;"",I170&lt;&gt;""),ABS(H170-I170),"")</f>
        <v/>
      </c>
      <c r="L170" s="33">
        <f>IFERROR(ABS(J170-H170)/K170,"")</f>
        <v/>
      </c>
      <c r="M170" s="4" t="n"/>
      <c r="N170" s="19">
        <f>IF(AND(K170&lt;&gt;"",M170&lt;&gt;""),K170*M170,"")</f>
        <v/>
      </c>
      <c r="O170" s="24">
        <f>IFERROR(N170/$B$3,"")</f>
        <v/>
      </c>
      <c r="P170" s="31" t="n"/>
      <c r="Q170" s="32" t="n"/>
      <c r="R170" s="4" t="n"/>
      <c r="S170" s="13" t="n"/>
      <c r="T170" s="33">
        <f>IFERROR(S170/N170,"")</f>
        <v/>
      </c>
      <c r="U170" s="4" t="n"/>
      <c r="V170" s="4" t="n"/>
      <c r="W170" s="4" t="n"/>
    </row>
    <row r="171">
      <c r="A171" s="30" t="n"/>
      <c r="B171" s="4" t="n"/>
      <c r="C171" s="4" t="n"/>
      <c r="D171" s="4" t="n"/>
      <c r="E171" s="4" t="n"/>
      <c r="F171" s="4" t="n"/>
      <c r="G171" s="31" t="n"/>
      <c r="H171" s="32" t="n"/>
      <c r="I171" s="32" t="n"/>
      <c r="J171" s="32" t="n"/>
      <c r="K171" s="20">
        <f>IF(AND(H171&lt;&gt;"",I171&lt;&gt;""),ABS(H171-I171),"")</f>
        <v/>
      </c>
      <c r="L171" s="33">
        <f>IFERROR(ABS(J171-H171)/K171,"")</f>
        <v/>
      </c>
      <c r="M171" s="4" t="n"/>
      <c r="N171" s="19">
        <f>IF(AND(K171&lt;&gt;"",M171&lt;&gt;""),K171*M171,"")</f>
        <v/>
      </c>
      <c r="O171" s="24">
        <f>IFERROR(N171/$B$3,"")</f>
        <v/>
      </c>
      <c r="P171" s="31" t="n"/>
      <c r="Q171" s="32" t="n"/>
      <c r="R171" s="4" t="n"/>
      <c r="S171" s="13" t="n"/>
      <c r="T171" s="33">
        <f>IFERROR(S171/N171,"")</f>
        <v/>
      </c>
      <c r="U171" s="4" t="n"/>
      <c r="V171" s="4" t="n"/>
      <c r="W171" s="4" t="n"/>
    </row>
    <row r="172">
      <c r="A172" s="30" t="n"/>
      <c r="B172" s="4" t="n"/>
      <c r="C172" s="4" t="n"/>
      <c r="D172" s="4" t="n"/>
      <c r="E172" s="4" t="n"/>
      <c r="F172" s="4" t="n"/>
      <c r="G172" s="31" t="n"/>
      <c r="H172" s="32" t="n"/>
      <c r="I172" s="32" t="n"/>
      <c r="J172" s="32" t="n"/>
      <c r="K172" s="20">
        <f>IF(AND(H172&lt;&gt;"",I172&lt;&gt;""),ABS(H172-I172),"")</f>
        <v/>
      </c>
      <c r="L172" s="33">
        <f>IFERROR(ABS(J172-H172)/K172,"")</f>
        <v/>
      </c>
      <c r="M172" s="4" t="n"/>
      <c r="N172" s="19">
        <f>IF(AND(K172&lt;&gt;"",M172&lt;&gt;""),K172*M172,"")</f>
        <v/>
      </c>
      <c r="O172" s="24">
        <f>IFERROR(N172/$B$3,"")</f>
        <v/>
      </c>
      <c r="P172" s="31" t="n"/>
      <c r="Q172" s="32" t="n"/>
      <c r="R172" s="4" t="n"/>
      <c r="S172" s="13" t="n"/>
      <c r="T172" s="33">
        <f>IFERROR(S172/N172,"")</f>
        <v/>
      </c>
      <c r="U172" s="4" t="n"/>
      <c r="V172" s="4" t="n"/>
      <c r="W172" s="4" t="n"/>
    </row>
    <row r="173">
      <c r="A173" s="30" t="n"/>
      <c r="B173" s="4" t="n"/>
      <c r="C173" s="4" t="n"/>
      <c r="D173" s="4" t="n"/>
      <c r="E173" s="4" t="n"/>
      <c r="F173" s="4" t="n"/>
      <c r="G173" s="31" t="n"/>
      <c r="H173" s="32" t="n"/>
      <c r="I173" s="32" t="n"/>
      <c r="J173" s="32" t="n"/>
      <c r="K173" s="20">
        <f>IF(AND(H173&lt;&gt;"",I173&lt;&gt;""),ABS(H173-I173),"")</f>
        <v/>
      </c>
      <c r="L173" s="33">
        <f>IFERROR(ABS(J173-H173)/K173,"")</f>
        <v/>
      </c>
      <c r="M173" s="4" t="n"/>
      <c r="N173" s="19">
        <f>IF(AND(K173&lt;&gt;"",M173&lt;&gt;""),K173*M173,"")</f>
        <v/>
      </c>
      <c r="O173" s="24">
        <f>IFERROR(N173/$B$3,"")</f>
        <v/>
      </c>
      <c r="P173" s="31" t="n"/>
      <c r="Q173" s="32" t="n"/>
      <c r="R173" s="4" t="n"/>
      <c r="S173" s="13" t="n"/>
      <c r="T173" s="33">
        <f>IFERROR(S173/N173,"")</f>
        <v/>
      </c>
      <c r="U173" s="4" t="n"/>
      <c r="V173" s="4" t="n"/>
      <c r="W173" s="4" t="n"/>
    </row>
    <row r="174">
      <c r="A174" s="30" t="n"/>
      <c r="B174" s="4" t="n"/>
      <c r="C174" s="4" t="n"/>
      <c r="D174" s="4" t="n"/>
      <c r="E174" s="4" t="n"/>
      <c r="F174" s="4" t="n"/>
      <c r="G174" s="31" t="n"/>
      <c r="H174" s="32" t="n"/>
      <c r="I174" s="32" t="n"/>
      <c r="J174" s="32" t="n"/>
      <c r="K174" s="20">
        <f>IF(AND(H174&lt;&gt;"",I174&lt;&gt;""),ABS(H174-I174),"")</f>
        <v/>
      </c>
      <c r="L174" s="33">
        <f>IFERROR(ABS(J174-H174)/K174,"")</f>
        <v/>
      </c>
      <c r="M174" s="4" t="n"/>
      <c r="N174" s="19">
        <f>IF(AND(K174&lt;&gt;"",M174&lt;&gt;""),K174*M174,"")</f>
        <v/>
      </c>
      <c r="O174" s="24">
        <f>IFERROR(N174/$B$3,"")</f>
        <v/>
      </c>
      <c r="P174" s="31" t="n"/>
      <c r="Q174" s="32" t="n"/>
      <c r="R174" s="4" t="n"/>
      <c r="S174" s="13" t="n"/>
      <c r="T174" s="33">
        <f>IFERROR(S174/N174,"")</f>
        <v/>
      </c>
      <c r="U174" s="4" t="n"/>
      <c r="V174" s="4" t="n"/>
      <c r="W174" s="4" t="n"/>
    </row>
    <row r="175">
      <c r="A175" s="30" t="n"/>
      <c r="B175" s="4" t="n"/>
      <c r="C175" s="4" t="n"/>
      <c r="D175" s="4" t="n"/>
      <c r="E175" s="4" t="n"/>
      <c r="F175" s="4" t="n"/>
      <c r="G175" s="31" t="n"/>
      <c r="H175" s="32" t="n"/>
      <c r="I175" s="32" t="n"/>
      <c r="J175" s="32" t="n"/>
      <c r="K175" s="20">
        <f>IF(AND(H175&lt;&gt;"",I175&lt;&gt;""),ABS(H175-I175),"")</f>
        <v/>
      </c>
      <c r="L175" s="33">
        <f>IFERROR(ABS(J175-H175)/K175,"")</f>
        <v/>
      </c>
      <c r="M175" s="4" t="n"/>
      <c r="N175" s="19">
        <f>IF(AND(K175&lt;&gt;"",M175&lt;&gt;""),K175*M175,"")</f>
        <v/>
      </c>
      <c r="O175" s="24">
        <f>IFERROR(N175/$B$3,"")</f>
        <v/>
      </c>
      <c r="P175" s="31" t="n"/>
      <c r="Q175" s="32" t="n"/>
      <c r="R175" s="4" t="n"/>
      <c r="S175" s="13" t="n"/>
      <c r="T175" s="33">
        <f>IFERROR(S175/N175,"")</f>
        <v/>
      </c>
      <c r="U175" s="4" t="n"/>
      <c r="V175" s="4" t="n"/>
      <c r="W175" s="4" t="n"/>
    </row>
    <row r="176">
      <c r="A176" s="30" t="n"/>
      <c r="B176" s="4" t="n"/>
      <c r="C176" s="4" t="n"/>
      <c r="D176" s="4" t="n"/>
      <c r="E176" s="4" t="n"/>
      <c r="F176" s="4" t="n"/>
      <c r="G176" s="31" t="n"/>
      <c r="H176" s="32" t="n"/>
      <c r="I176" s="32" t="n"/>
      <c r="J176" s="32" t="n"/>
      <c r="K176" s="20">
        <f>IF(AND(H176&lt;&gt;"",I176&lt;&gt;""),ABS(H176-I176),"")</f>
        <v/>
      </c>
      <c r="L176" s="33">
        <f>IFERROR(ABS(J176-H176)/K176,"")</f>
        <v/>
      </c>
      <c r="M176" s="4" t="n"/>
      <c r="N176" s="19">
        <f>IF(AND(K176&lt;&gt;"",M176&lt;&gt;""),K176*M176,"")</f>
        <v/>
      </c>
      <c r="O176" s="24">
        <f>IFERROR(N176/$B$3,"")</f>
        <v/>
      </c>
      <c r="P176" s="31" t="n"/>
      <c r="Q176" s="32" t="n"/>
      <c r="R176" s="4" t="n"/>
      <c r="S176" s="13" t="n"/>
      <c r="T176" s="33">
        <f>IFERROR(S176/N176,"")</f>
        <v/>
      </c>
      <c r="U176" s="4" t="n"/>
      <c r="V176" s="4" t="n"/>
      <c r="W176" s="4" t="n"/>
    </row>
    <row r="177">
      <c r="A177" s="30" t="n"/>
      <c r="B177" s="4" t="n"/>
      <c r="C177" s="4" t="n"/>
      <c r="D177" s="4" t="n"/>
      <c r="E177" s="4" t="n"/>
      <c r="F177" s="4" t="n"/>
      <c r="G177" s="31" t="n"/>
      <c r="H177" s="32" t="n"/>
      <c r="I177" s="32" t="n"/>
      <c r="J177" s="32" t="n"/>
      <c r="K177" s="20">
        <f>IF(AND(H177&lt;&gt;"",I177&lt;&gt;""),ABS(H177-I177),"")</f>
        <v/>
      </c>
      <c r="L177" s="33">
        <f>IFERROR(ABS(J177-H177)/K177,"")</f>
        <v/>
      </c>
      <c r="M177" s="4" t="n"/>
      <c r="N177" s="19">
        <f>IF(AND(K177&lt;&gt;"",M177&lt;&gt;""),K177*M177,"")</f>
        <v/>
      </c>
      <c r="O177" s="24">
        <f>IFERROR(N177/$B$3,"")</f>
        <v/>
      </c>
      <c r="P177" s="31" t="n"/>
      <c r="Q177" s="32" t="n"/>
      <c r="R177" s="4" t="n"/>
      <c r="S177" s="13" t="n"/>
      <c r="T177" s="33">
        <f>IFERROR(S177/N177,"")</f>
        <v/>
      </c>
      <c r="U177" s="4" t="n"/>
      <c r="V177" s="4" t="n"/>
      <c r="W177" s="4" t="n"/>
    </row>
    <row r="178">
      <c r="A178" s="30" t="n"/>
      <c r="B178" s="4" t="n"/>
      <c r="C178" s="4" t="n"/>
      <c r="D178" s="4" t="n"/>
      <c r="E178" s="4" t="n"/>
      <c r="F178" s="4" t="n"/>
      <c r="G178" s="31" t="n"/>
      <c r="H178" s="32" t="n"/>
      <c r="I178" s="32" t="n"/>
      <c r="J178" s="32" t="n"/>
      <c r="K178" s="20">
        <f>IF(AND(H178&lt;&gt;"",I178&lt;&gt;""),ABS(H178-I178),"")</f>
        <v/>
      </c>
      <c r="L178" s="33">
        <f>IFERROR(ABS(J178-H178)/K178,"")</f>
        <v/>
      </c>
      <c r="M178" s="4" t="n"/>
      <c r="N178" s="19">
        <f>IF(AND(K178&lt;&gt;"",M178&lt;&gt;""),K178*M178,"")</f>
        <v/>
      </c>
      <c r="O178" s="24">
        <f>IFERROR(N178/$B$3,"")</f>
        <v/>
      </c>
      <c r="P178" s="31" t="n"/>
      <c r="Q178" s="32" t="n"/>
      <c r="R178" s="4" t="n"/>
      <c r="S178" s="13" t="n"/>
      <c r="T178" s="33">
        <f>IFERROR(S178/N178,"")</f>
        <v/>
      </c>
      <c r="U178" s="4" t="n"/>
      <c r="V178" s="4" t="n"/>
      <c r="W178" s="4" t="n"/>
    </row>
    <row r="179">
      <c r="A179" s="30" t="n"/>
      <c r="B179" s="4" t="n"/>
      <c r="C179" s="4" t="n"/>
      <c r="D179" s="4" t="n"/>
      <c r="E179" s="4" t="n"/>
      <c r="F179" s="4" t="n"/>
      <c r="G179" s="31" t="n"/>
      <c r="H179" s="32" t="n"/>
      <c r="I179" s="32" t="n"/>
      <c r="J179" s="32" t="n"/>
      <c r="K179" s="20">
        <f>IF(AND(H179&lt;&gt;"",I179&lt;&gt;""),ABS(H179-I179),"")</f>
        <v/>
      </c>
      <c r="L179" s="33">
        <f>IFERROR(ABS(J179-H179)/K179,"")</f>
        <v/>
      </c>
      <c r="M179" s="4" t="n"/>
      <c r="N179" s="19">
        <f>IF(AND(K179&lt;&gt;"",M179&lt;&gt;""),K179*M179,"")</f>
        <v/>
      </c>
      <c r="O179" s="24">
        <f>IFERROR(N179/$B$3,"")</f>
        <v/>
      </c>
      <c r="P179" s="31" t="n"/>
      <c r="Q179" s="32" t="n"/>
      <c r="R179" s="4" t="n"/>
      <c r="S179" s="13" t="n"/>
      <c r="T179" s="33">
        <f>IFERROR(S179/N179,"")</f>
        <v/>
      </c>
      <c r="U179" s="4" t="n"/>
      <c r="V179" s="4" t="n"/>
      <c r="W179" s="4" t="n"/>
    </row>
    <row r="180">
      <c r="A180" s="30" t="n"/>
      <c r="B180" s="4" t="n"/>
      <c r="C180" s="4" t="n"/>
      <c r="D180" s="4" t="n"/>
      <c r="E180" s="4" t="n"/>
      <c r="F180" s="4" t="n"/>
      <c r="G180" s="31" t="n"/>
      <c r="H180" s="32" t="n"/>
      <c r="I180" s="32" t="n"/>
      <c r="J180" s="32" t="n"/>
      <c r="K180" s="20">
        <f>IF(AND(H180&lt;&gt;"",I180&lt;&gt;""),ABS(H180-I180),"")</f>
        <v/>
      </c>
      <c r="L180" s="33">
        <f>IFERROR(ABS(J180-H180)/K180,"")</f>
        <v/>
      </c>
      <c r="M180" s="4" t="n"/>
      <c r="N180" s="19">
        <f>IF(AND(K180&lt;&gt;"",M180&lt;&gt;""),K180*M180,"")</f>
        <v/>
      </c>
      <c r="O180" s="24">
        <f>IFERROR(N180/$B$3,"")</f>
        <v/>
      </c>
      <c r="P180" s="31" t="n"/>
      <c r="Q180" s="32" t="n"/>
      <c r="R180" s="4" t="n"/>
      <c r="S180" s="13" t="n"/>
      <c r="T180" s="33">
        <f>IFERROR(S180/N180,"")</f>
        <v/>
      </c>
      <c r="U180" s="4" t="n"/>
      <c r="V180" s="4" t="n"/>
      <c r="W180" s="4" t="n"/>
    </row>
    <row r="181">
      <c r="A181" s="30" t="n"/>
      <c r="B181" s="4" t="n"/>
      <c r="C181" s="4" t="n"/>
      <c r="D181" s="4" t="n"/>
      <c r="E181" s="4" t="n"/>
      <c r="F181" s="4" t="n"/>
      <c r="G181" s="31" t="n"/>
      <c r="H181" s="32" t="n"/>
      <c r="I181" s="32" t="n"/>
      <c r="J181" s="32" t="n"/>
      <c r="K181" s="20">
        <f>IF(AND(H181&lt;&gt;"",I181&lt;&gt;""),ABS(H181-I181),"")</f>
        <v/>
      </c>
      <c r="L181" s="33">
        <f>IFERROR(ABS(J181-H181)/K181,"")</f>
        <v/>
      </c>
      <c r="M181" s="4" t="n"/>
      <c r="N181" s="19">
        <f>IF(AND(K181&lt;&gt;"",M181&lt;&gt;""),K181*M181,"")</f>
        <v/>
      </c>
      <c r="O181" s="24">
        <f>IFERROR(N181/$B$3,"")</f>
        <v/>
      </c>
      <c r="P181" s="31" t="n"/>
      <c r="Q181" s="32" t="n"/>
      <c r="R181" s="4" t="n"/>
      <c r="S181" s="13" t="n"/>
      <c r="T181" s="33">
        <f>IFERROR(S181/N181,"")</f>
        <v/>
      </c>
      <c r="U181" s="4" t="n"/>
      <c r="V181" s="4" t="n"/>
      <c r="W181" s="4" t="n"/>
    </row>
    <row r="182">
      <c r="A182" s="30" t="n"/>
      <c r="B182" s="4" t="n"/>
      <c r="C182" s="4" t="n"/>
      <c r="D182" s="4" t="n"/>
      <c r="E182" s="4" t="n"/>
      <c r="F182" s="4" t="n"/>
      <c r="G182" s="31" t="n"/>
      <c r="H182" s="32" t="n"/>
      <c r="I182" s="32" t="n"/>
      <c r="J182" s="32" t="n"/>
      <c r="K182" s="20">
        <f>IF(AND(H182&lt;&gt;"",I182&lt;&gt;""),ABS(H182-I182),"")</f>
        <v/>
      </c>
      <c r="L182" s="33">
        <f>IFERROR(ABS(J182-H182)/K182,"")</f>
        <v/>
      </c>
      <c r="M182" s="4" t="n"/>
      <c r="N182" s="19">
        <f>IF(AND(K182&lt;&gt;"",M182&lt;&gt;""),K182*M182,"")</f>
        <v/>
      </c>
      <c r="O182" s="24">
        <f>IFERROR(N182/$B$3,"")</f>
        <v/>
      </c>
      <c r="P182" s="31" t="n"/>
      <c r="Q182" s="32" t="n"/>
      <c r="R182" s="4" t="n"/>
      <c r="S182" s="13" t="n"/>
      <c r="T182" s="33">
        <f>IFERROR(S182/N182,"")</f>
        <v/>
      </c>
      <c r="U182" s="4" t="n"/>
      <c r="V182" s="4" t="n"/>
      <c r="W182" s="4" t="n"/>
    </row>
    <row r="183">
      <c r="A183" s="30" t="n"/>
      <c r="B183" s="4" t="n"/>
      <c r="C183" s="4" t="n"/>
      <c r="D183" s="4" t="n"/>
      <c r="E183" s="4" t="n"/>
      <c r="F183" s="4" t="n"/>
      <c r="G183" s="31" t="n"/>
      <c r="H183" s="32" t="n"/>
      <c r="I183" s="32" t="n"/>
      <c r="J183" s="32" t="n"/>
      <c r="K183" s="20">
        <f>IF(AND(H183&lt;&gt;"",I183&lt;&gt;""),ABS(H183-I183),"")</f>
        <v/>
      </c>
      <c r="L183" s="33">
        <f>IFERROR(ABS(J183-H183)/K183,"")</f>
        <v/>
      </c>
      <c r="M183" s="4" t="n"/>
      <c r="N183" s="19">
        <f>IF(AND(K183&lt;&gt;"",M183&lt;&gt;""),K183*M183,"")</f>
        <v/>
      </c>
      <c r="O183" s="24">
        <f>IFERROR(N183/$B$3,"")</f>
        <v/>
      </c>
      <c r="P183" s="31" t="n"/>
      <c r="Q183" s="32" t="n"/>
      <c r="R183" s="4" t="n"/>
      <c r="S183" s="13" t="n"/>
      <c r="T183" s="33">
        <f>IFERROR(S183/N183,"")</f>
        <v/>
      </c>
      <c r="U183" s="4" t="n"/>
      <c r="V183" s="4" t="n"/>
      <c r="W183" s="4" t="n"/>
    </row>
    <row r="184">
      <c r="A184" s="30" t="n"/>
      <c r="B184" s="4" t="n"/>
      <c r="C184" s="4" t="n"/>
      <c r="D184" s="4" t="n"/>
      <c r="E184" s="4" t="n"/>
      <c r="F184" s="4" t="n"/>
      <c r="G184" s="31" t="n"/>
      <c r="H184" s="32" t="n"/>
      <c r="I184" s="32" t="n"/>
      <c r="J184" s="32" t="n"/>
      <c r="K184" s="20">
        <f>IF(AND(H184&lt;&gt;"",I184&lt;&gt;""),ABS(H184-I184),"")</f>
        <v/>
      </c>
      <c r="L184" s="33">
        <f>IFERROR(ABS(J184-H184)/K184,"")</f>
        <v/>
      </c>
      <c r="M184" s="4" t="n"/>
      <c r="N184" s="19">
        <f>IF(AND(K184&lt;&gt;"",M184&lt;&gt;""),K184*M184,"")</f>
        <v/>
      </c>
      <c r="O184" s="24">
        <f>IFERROR(N184/$B$3,"")</f>
        <v/>
      </c>
      <c r="P184" s="31" t="n"/>
      <c r="Q184" s="32" t="n"/>
      <c r="R184" s="4" t="n"/>
      <c r="S184" s="13" t="n"/>
      <c r="T184" s="33">
        <f>IFERROR(S184/N184,"")</f>
        <v/>
      </c>
      <c r="U184" s="4" t="n"/>
      <c r="V184" s="4" t="n"/>
      <c r="W184" s="4" t="n"/>
    </row>
    <row r="185">
      <c r="A185" s="30" t="n"/>
      <c r="B185" s="4" t="n"/>
      <c r="C185" s="4" t="n"/>
      <c r="D185" s="4" t="n"/>
      <c r="E185" s="4" t="n"/>
      <c r="F185" s="4" t="n"/>
      <c r="G185" s="31" t="n"/>
      <c r="H185" s="32" t="n"/>
      <c r="I185" s="32" t="n"/>
      <c r="J185" s="32" t="n"/>
      <c r="K185" s="20">
        <f>IF(AND(H185&lt;&gt;"",I185&lt;&gt;""),ABS(H185-I185),"")</f>
        <v/>
      </c>
      <c r="L185" s="33">
        <f>IFERROR(ABS(J185-H185)/K185,"")</f>
        <v/>
      </c>
      <c r="M185" s="4" t="n"/>
      <c r="N185" s="19">
        <f>IF(AND(K185&lt;&gt;"",M185&lt;&gt;""),K185*M185,"")</f>
        <v/>
      </c>
      <c r="O185" s="24">
        <f>IFERROR(N185/$B$3,"")</f>
        <v/>
      </c>
      <c r="P185" s="31" t="n"/>
      <c r="Q185" s="32" t="n"/>
      <c r="R185" s="4" t="n"/>
      <c r="S185" s="13" t="n"/>
      <c r="T185" s="33">
        <f>IFERROR(S185/N185,"")</f>
        <v/>
      </c>
      <c r="U185" s="4" t="n"/>
      <c r="V185" s="4" t="n"/>
      <c r="W185" s="4" t="n"/>
    </row>
    <row r="186">
      <c r="A186" s="30" t="n"/>
      <c r="B186" s="4" t="n"/>
      <c r="C186" s="4" t="n"/>
      <c r="D186" s="4" t="n"/>
      <c r="E186" s="4" t="n"/>
      <c r="F186" s="4" t="n"/>
      <c r="G186" s="31" t="n"/>
      <c r="H186" s="32" t="n"/>
      <c r="I186" s="32" t="n"/>
      <c r="J186" s="32" t="n"/>
      <c r="K186" s="20">
        <f>IF(AND(H186&lt;&gt;"",I186&lt;&gt;""),ABS(H186-I186),"")</f>
        <v/>
      </c>
      <c r="L186" s="33">
        <f>IFERROR(ABS(J186-H186)/K186,"")</f>
        <v/>
      </c>
      <c r="M186" s="4" t="n"/>
      <c r="N186" s="19">
        <f>IF(AND(K186&lt;&gt;"",M186&lt;&gt;""),K186*M186,"")</f>
        <v/>
      </c>
      <c r="O186" s="24">
        <f>IFERROR(N186/$B$3,"")</f>
        <v/>
      </c>
      <c r="P186" s="31" t="n"/>
      <c r="Q186" s="32" t="n"/>
      <c r="R186" s="4" t="n"/>
      <c r="S186" s="13" t="n"/>
      <c r="T186" s="33">
        <f>IFERROR(S186/N186,"")</f>
        <v/>
      </c>
      <c r="U186" s="4" t="n"/>
      <c r="V186" s="4" t="n"/>
      <c r="W186" s="4" t="n"/>
    </row>
    <row r="187">
      <c r="A187" s="30" t="n"/>
      <c r="B187" s="4" t="n"/>
      <c r="C187" s="4" t="n"/>
      <c r="D187" s="4" t="n"/>
      <c r="E187" s="4" t="n"/>
      <c r="F187" s="4" t="n"/>
      <c r="G187" s="31" t="n"/>
      <c r="H187" s="32" t="n"/>
      <c r="I187" s="32" t="n"/>
      <c r="J187" s="32" t="n"/>
      <c r="K187" s="20">
        <f>IF(AND(H187&lt;&gt;"",I187&lt;&gt;""),ABS(H187-I187),"")</f>
        <v/>
      </c>
      <c r="L187" s="33">
        <f>IFERROR(ABS(J187-H187)/K187,"")</f>
        <v/>
      </c>
      <c r="M187" s="4" t="n"/>
      <c r="N187" s="19">
        <f>IF(AND(K187&lt;&gt;"",M187&lt;&gt;""),K187*M187,"")</f>
        <v/>
      </c>
      <c r="O187" s="24">
        <f>IFERROR(N187/$B$3,"")</f>
        <v/>
      </c>
      <c r="P187" s="31" t="n"/>
      <c r="Q187" s="32" t="n"/>
      <c r="R187" s="4" t="n"/>
      <c r="S187" s="13" t="n"/>
      <c r="T187" s="33">
        <f>IFERROR(S187/N187,"")</f>
        <v/>
      </c>
      <c r="U187" s="4" t="n"/>
      <c r="V187" s="4" t="n"/>
      <c r="W187" s="4" t="n"/>
    </row>
    <row r="188">
      <c r="A188" s="30" t="n"/>
      <c r="B188" s="4" t="n"/>
      <c r="C188" s="4" t="n"/>
      <c r="D188" s="4" t="n"/>
      <c r="E188" s="4" t="n"/>
      <c r="F188" s="4" t="n"/>
      <c r="G188" s="31" t="n"/>
      <c r="H188" s="32" t="n"/>
      <c r="I188" s="32" t="n"/>
      <c r="J188" s="32" t="n"/>
      <c r="K188" s="20">
        <f>IF(AND(H188&lt;&gt;"",I188&lt;&gt;""),ABS(H188-I188),"")</f>
        <v/>
      </c>
      <c r="L188" s="33">
        <f>IFERROR(ABS(J188-H188)/K188,"")</f>
        <v/>
      </c>
      <c r="M188" s="4" t="n"/>
      <c r="N188" s="19">
        <f>IF(AND(K188&lt;&gt;"",M188&lt;&gt;""),K188*M188,"")</f>
        <v/>
      </c>
      <c r="O188" s="24">
        <f>IFERROR(N188/$B$3,"")</f>
        <v/>
      </c>
      <c r="P188" s="31" t="n"/>
      <c r="Q188" s="32" t="n"/>
      <c r="R188" s="4" t="n"/>
      <c r="S188" s="13" t="n"/>
      <c r="T188" s="33">
        <f>IFERROR(S188/N188,"")</f>
        <v/>
      </c>
      <c r="U188" s="4" t="n"/>
      <c r="V188" s="4" t="n"/>
      <c r="W188" s="4" t="n"/>
    </row>
    <row r="189">
      <c r="A189" s="30" t="n"/>
      <c r="B189" s="4" t="n"/>
      <c r="C189" s="4" t="n"/>
      <c r="D189" s="4" t="n"/>
      <c r="E189" s="4" t="n"/>
      <c r="F189" s="4" t="n"/>
      <c r="G189" s="31" t="n"/>
      <c r="H189" s="32" t="n"/>
      <c r="I189" s="32" t="n"/>
      <c r="J189" s="32" t="n"/>
      <c r="K189" s="20">
        <f>IF(AND(H189&lt;&gt;"",I189&lt;&gt;""),ABS(H189-I189),"")</f>
        <v/>
      </c>
      <c r="L189" s="33">
        <f>IFERROR(ABS(J189-H189)/K189,"")</f>
        <v/>
      </c>
      <c r="M189" s="4" t="n"/>
      <c r="N189" s="19">
        <f>IF(AND(K189&lt;&gt;"",M189&lt;&gt;""),K189*M189,"")</f>
        <v/>
      </c>
      <c r="O189" s="24">
        <f>IFERROR(N189/$B$3,"")</f>
        <v/>
      </c>
      <c r="P189" s="31" t="n"/>
      <c r="Q189" s="32" t="n"/>
      <c r="R189" s="4" t="n"/>
      <c r="S189" s="13" t="n"/>
      <c r="T189" s="33">
        <f>IFERROR(S189/N189,"")</f>
        <v/>
      </c>
      <c r="U189" s="4" t="n"/>
      <c r="V189" s="4" t="n"/>
      <c r="W189" s="4" t="n"/>
    </row>
    <row r="190">
      <c r="A190" s="30" t="n"/>
      <c r="B190" s="4" t="n"/>
      <c r="C190" s="4" t="n"/>
      <c r="D190" s="4" t="n"/>
      <c r="E190" s="4" t="n"/>
      <c r="F190" s="4" t="n"/>
      <c r="G190" s="31" t="n"/>
      <c r="H190" s="32" t="n"/>
      <c r="I190" s="32" t="n"/>
      <c r="J190" s="32" t="n"/>
      <c r="K190" s="20">
        <f>IF(AND(H190&lt;&gt;"",I190&lt;&gt;""),ABS(H190-I190),"")</f>
        <v/>
      </c>
      <c r="L190" s="33">
        <f>IFERROR(ABS(J190-H190)/K190,"")</f>
        <v/>
      </c>
      <c r="M190" s="4" t="n"/>
      <c r="N190" s="19">
        <f>IF(AND(K190&lt;&gt;"",M190&lt;&gt;""),K190*M190,"")</f>
        <v/>
      </c>
      <c r="O190" s="24">
        <f>IFERROR(N190/$B$3,"")</f>
        <v/>
      </c>
      <c r="P190" s="31" t="n"/>
      <c r="Q190" s="32" t="n"/>
      <c r="R190" s="4" t="n"/>
      <c r="S190" s="13" t="n"/>
      <c r="T190" s="33">
        <f>IFERROR(S190/N190,"")</f>
        <v/>
      </c>
      <c r="U190" s="4" t="n"/>
      <c r="V190" s="4" t="n"/>
      <c r="W190" s="4" t="n"/>
    </row>
    <row r="191">
      <c r="A191" s="30" t="n"/>
      <c r="B191" s="4" t="n"/>
      <c r="C191" s="4" t="n"/>
      <c r="D191" s="4" t="n"/>
      <c r="E191" s="4" t="n"/>
      <c r="F191" s="4" t="n"/>
      <c r="G191" s="31" t="n"/>
      <c r="H191" s="32" t="n"/>
      <c r="I191" s="32" t="n"/>
      <c r="J191" s="32" t="n"/>
      <c r="K191" s="20">
        <f>IF(AND(H191&lt;&gt;"",I191&lt;&gt;""),ABS(H191-I191),"")</f>
        <v/>
      </c>
      <c r="L191" s="33">
        <f>IFERROR(ABS(J191-H191)/K191,"")</f>
        <v/>
      </c>
      <c r="M191" s="4" t="n"/>
      <c r="N191" s="19">
        <f>IF(AND(K191&lt;&gt;"",M191&lt;&gt;""),K191*M191,"")</f>
        <v/>
      </c>
      <c r="O191" s="24">
        <f>IFERROR(N191/$B$3,"")</f>
        <v/>
      </c>
      <c r="P191" s="31" t="n"/>
      <c r="Q191" s="32" t="n"/>
      <c r="R191" s="4" t="n"/>
      <c r="S191" s="13" t="n"/>
      <c r="T191" s="33">
        <f>IFERROR(S191/N191,"")</f>
        <v/>
      </c>
      <c r="U191" s="4" t="n"/>
      <c r="V191" s="4" t="n"/>
      <c r="W191" s="4" t="n"/>
    </row>
    <row r="192">
      <c r="A192" s="30" t="n"/>
      <c r="B192" s="4" t="n"/>
      <c r="C192" s="4" t="n"/>
      <c r="D192" s="4" t="n"/>
      <c r="E192" s="4" t="n"/>
      <c r="F192" s="4" t="n"/>
      <c r="G192" s="31" t="n"/>
      <c r="H192" s="32" t="n"/>
      <c r="I192" s="32" t="n"/>
      <c r="J192" s="32" t="n"/>
      <c r="K192" s="20">
        <f>IF(AND(H192&lt;&gt;"",I192&lt;&gt;""),ABS(H192-I192),"")</f>
        <v/>
      </c>
      <c r="L192" s="33">
        <f>IFERROR(ABS(J192-H192)/K192,"")</f>
        <v/>
      </c>
      <c r="M192" s="4" t="n"/>
      <c r="N192" s="19">
        <f>IF(AND(K192&lt;&gt;"",M192&lt;&gt;""),K192*M192,"")</f>
        <v/>
      </c>
      <c r="O192" s="24">
        <f>IFERROR(N192/$B$3,"")</f>
        <v/>
      </c>
      <c r="P192" s="31" t="n"/>
      <c r="Q192" s="32" t="n"/>
      <c r="R192" s="4" t="n"/>
      <c r="S192" s="13" t="n"/>
      <c r="T192" s="33">
        <f>IFERROR(S192/N192,"")</f>
        <v/>
      </c>
      <c r="U192" s="4" t="n"/>
      <c r="V192" s="4" t="n"/>
      <c r="W192" s="4" t="n"/>
    </row>
    <row r="193">
      <c r="A193" s="30" t="n"/>
      <c r="B193" s="4" t="n"/>
      <c r="C193" s="4" t="n"/>
      <c r="D193" s="4" t="n"/>
      <c r="E193" s="4" t="n"/>
      <c r="F193" s="4" t="n"/>
      <c r="G193" s="31" t="n"/>
      <c r="H193" s="32" t="n"/>
      <c r="I193" s="32" t="n"/>
      <c r="J193" s="32" t="n"/>
      <c r="K193" s="20">
        <f>IF(AND(H193&lt;&gt;"",I193&lt;&gt;""),ABS(H193-I193),"")</f>
        <v/>
      </c>
      <c r="L193" s="33">
        <f>IFERROR(ABS(J193-H193)/K193,"")</f>
        <v/>
      </c>
      <c r="M193" s="4" t="n"/>
      <c r="N193" s="19">
        <f>IF(AND(K193&lt;&gt;"",M193&lt;&gt;""),K193*M193,"")</f>
        <v/>
      </c>
      <c r="O193" s="24">
        <f>IFERROR(N193/$B$3,"")</f>
        <v/>
      </c>
      <c r="P193" s="31" t="n"/>
      <c r="Q193" s="32" t="n"/>
      <c r="R193" s="4" t="n"/>
      <c r="S193" s="13" t="n"/>
      <c r="T193" s="33">
        <f>IFERROR(S193/N193,"")</f>
        <v/>
      </c>
      <c r="U193" s="4" t="n"/>
      <c r="V193" s="4" t="n"/>
      <c r="W193" s="4" t="n"/>
    </row>
    <row r="194">
      <c r="A194" s="30" t="n"/>
      <c r="B194" s="4" t="n"/>
      <c r="C194" s="4" t="n"/>
      <c r="D194" s="4" t="n"/>
      <c r="E194" s="4" t="n"/>
      <c r="F194" s="4" t="n"/>
      <c r="G194" s="31" t="n"/>
      <c r="H194" s="32" t="n"/>
      <c r="I194" s="32" t="n"/>
      <c r="J194" s="32" t="n"/>
      <c r="K194" s="20">
        <f>IF(AND(H194&lt;&gt;"",I194&lt;&gt;""),ABS(H194-I194),"")</f>
        <v/>
      </c>
      <c r="L194" s="33">
        <f>IFERROR(ABS(J194-H194)/K194,"")</f>
        <v/>
      </c>
      <c r="M194" s="4" t="n"/>
      <c r="N194" s="19">
        <f>IF(AND(K194&lt;&gt;"",M194&lt;&gt;""),K194*M194,"")</f>
        <v/>
      </c>
      <c r="O194" s="24">
        <f>IFERROR(N194/$B$3,"")</f>
        <v/>
      </c>
      <c r="P194" s="31" t="n"/>
      <c r="Q194" s="32" t="n"/>
      <c r="R194" s="4" t="n"/>
      <c r="S194" s="13" t="n"/>
      <c r="T194" s="33">
        <f>IFERROR(S194/N194,"")</f>
        <v/>
      </c>
      <c r="U194" s="4" t="n"/>
      <c r="V194" s="4" t="n"/>
      <c r="W194" s="4" t="n"/>
    </row>
    <row r="195">
      <c r="A195" s="30" t="n"/>
      <c r="B195" s="4" t="n"/>
      <c r="C195" s="4" t="n"/>
      <c r="D195" s="4" t="n"/>
      <c r="E195" s="4" t="n"/>
      <c r="F195" s="4" t="n"/>
      <c r="G195" s="31" t="n"/>
      <c r="H195" s="32" t="n"/>
      <c r="I195" s="32" t="n"/>
      <c r="J195" s="32" t="n"/>
      <c r="K195" s="20">
        <f>IF(AND(H195&lt;&gt;"",I195&lt;&gt;""),ABS(H195-I195),"")</f>
        <v/>
      </c>
      <c r="L195" s="33">
        <f>IFERROR(ABS(J195-H195)/K195,"")</f>
        <v/>
      </c>
      <c r="M195" s="4" t="n"/>
      <c r="N195" s="19">
        <f>IF(AND(K195&lt;&gt;"",M195&lt;&gt;""),K195*M195,"")</f>
        <v/>
      </c>
      <c r="O195" s="24">
        <f>IFERROR(N195/$B$3,"")</f>
        <v/>
      </c>
      <c r="P195" s="31" t="n"/>
      <c r="Q195" s="32" t="n"/>
      <c r="R195" s="4" t="n"/>
      <c r="S195" s="13" t="n"/>
      <c r="T195" s="33">
        <f>IFERROR(S195/N195,"")</f>
        <v/>
      </c>
      <c r="U195" s="4" t="n"/>
      <c r="V195" s="4" t="n"/>
      <c r="W195" s="4" t="n"/>
    </row>
    <row r="196">
      <c r="A196" s="30" t="n"/>
      <c r="B196" s="4" t="n"/>
      <c r="C196" s="4" t="n"/>
      <c r="D196" s="4" t="n"/>
      <c r="E196" s="4" t="n"/>
      <c r="F196" s="4" t="n"/>
      <c r="G196" s="31" t="n"/>
      <c r="H196" s="32" t="n"/>
      <c r="I196" s="32" t="n"/>
      <c r="J196" s="32" t="n"/>
      <c r="K196" s="20">
        <f>IF(AND(H196&lt;&gt;"",I196&lt;&gt;""),ABS(H196-I196),"")</f>
        <v/>
      </c>
      <c r="L196" s="33">
        <f>IFERROR(ABS(J196-H196)/K196,"")</f>
        <v/>
      </c>
      <c r="M196" s="4" t="n"/>
      <c r="N196" s="19">
        <f>IF(AND(K196&lt;&gt;"",M196&lt;&gt;""),K196*M196,"")</f>
        <v/>
      </c>
      <c r="O196" s="24">
        <f>IFERROR(N196/$B$3,"")</f>
        <v/>
      </c>
      <c r="P196" s="31" t="n"/>
      <c r="Q196" s="32" t="n"/>
      <c r="R196" s="4" t="n"/>
      <c r="S196" s="13" t="n"/>
      <c r="T196" s="33">
        <f>IFERROR(S196/N196,"")</f>
        <v/>
      </c>
      <c r="U196" s="4" t="n"/>
      <c r="V196" s="4" t="n"/>
      <c r="W196" s="4" t="n"/>
    </row>
    <row r="197">
      <c r="A197" s="30" t="n"/>
      <c r="B197" s="4" t="n"/>
      <c r="C197" s="4" t="n"/>
      <c r="D197" s="4" t="n"/>
      <c r="E197" s="4" t="n"/>
      <c r="F197" s="4" t="n"/>
      <c r="G197" s="31" t="n"/>
      <c r="H197" s="32" t="n"/>
      <c r="I197" s="32" t="n"/>
      <c r="J197" s="32" t="n"/>
      <c r="K197" s="20">
        <f>IF(AND(H197&lt;&gt;"",I197&lt;&gt;""),ABS(H197-I197),"")</f>
        <v/>
      </c>
      <c r="L197" s="33">
        <f>IFERROR(ABS(J197-H197)/K197,"")</f>
        <v/>
      </c>
      <c r="M197" s="4" t="n"/>
      <c r="N197" s="19">
        <f>IF(AND(K197&lt;&gt;"",M197&lt;&gt;""),K197*M197,"")</f>
        <v/>
      </c>
      <c r="O197" s="24">
        <f>IFERROR(N197/$B$3,"")</f>
        <v/>
      </c>
      <c r="P197" s="31" t="n"/>
      <c r="Q197" s="32" t="n"/>
      <c r="R197" s="4" t="n"/>
      <c r="S197" s="13" t="n"/>
      <c r="T197" s="33">
        <f>IFERROR(S197/N197,"")</f>
        <v/>
      </c>
      <c r="U197" s="4" t="n"/>
      <c r="V197" s="4" t="n"/>
      <c r="W197" s="4" t="n"/>
    </row>
    <row r="198">
      <c r="A198" s="30" t="n"/>
      <c r="B198" s="4" t="n"/>
      <c r="C198" s="4" t="n"/>
      <c r="D198" s="4" t="n"/>
      <c r="E198" s="4" t="n"/>
      <c r="F198" s="4" t="n"/>
      <c r="G198" s="31" t="n"/>
      <c r="H198" s="32" t="n"/>
      <c r="I198" s="32" t="n"/>
      <c r="J198" s="32" t="n"/>
      <c r="K198" s="20">
        <f>IF(AND(H198&lt;&gt;"",I198&lt;&gt;""),ABS(H198-I198),"")</f>
        <v/>
      </c>
      <c r="L198" s="33">
        <f>IFERROR(ABS(J198-H198)/K198,"")</f>
        <v/>
      </c>
      <c r="M198" s="4" t="n"/>
      <c r="N198" s="19">
        <f>IF(AND(K198&lt;&gt;"",M198&lt;&gt;""),K198*M198,"")</f>
        <v/>
      </c>
      <c r="O198" s="24">
        <f>IFERROR(N198/$B$3,"")</f>
        <v/>
      </c>
      <c r="P198" s="31" t="n"/>
      <c r="Q198" s="32" t="n"/>
      <c r="R198" s="4" t="n"/>
      <c r="S198" s="13" t="n"/>
      <c r="T198" s="33">
        <f>IFERROR(S198/N198,"")</f>
        <v/>
      </c>
      <c r="U198" s="4" t="n"/>
      <c r="V198" s="4" t="n"/>
      <c r="W198" s="4" t="n"/>
    </row>
    <row r="199">
      <c r="A199" s="30" t="n"/>
      <c r="B199" s="4" t="n"/>
      <c r="C199" s="4" t="n"/>
      <c r="D199" s="4" t="n"/>
      <c r="E199" s="4" t="n"/>
      <c r="F199" s="4" t="n"/>
      <c r="G199" s="31" t="n"/>
      <c r="H199" s="32" t="n"/>
      <c r="I199" s="32" t="n"/>
      <c r="J199" s="32" t="n"/>
      <c r="K199" s="20">
        <f>IF(AND(H199&lt;&gt;"",I199&lt;&gt;""),ABS(H199-I199),"")</f>
        <v/>
      </c>
      <c r="L199" s="33">
        <f>IFERROR(ABS(J199-H199)/K199,"")</f>
        <v/>
      </c>
      <c r="M199" s="4" t="n"/>
      <c r="N199" s="19">
        <f>IF(AND(K199&lt;&gt;"",M199&lt;&gt;""),K199*M199,"")</f>
        <v/>
      </c>
      <c r="O199" s="24">
        <f>IFERROR(N199/$B$3,"")</f>
        <v/>
      </c>
      <c r="P199" s="31" t="n"/>
      <c r="Q199" s="32" t="n"/>
      <c r="R199" s="4" t="n"/>
      <c r="S199" s="13" t="n"/>
      <c r="T199" s="33">
        <f>IFERROR(S199/N199,"")</f>
        <v/>
      </c>
      <c r="U199" s="4" t="n"/>
      <c r="V199" s="4" t="n"/>
      <c r="W199" s="4" t="n"/>
    </row>
    <row r="200">
      <c r="A200" s="30" t="n"/>
      <c r="B200" s="4" t="n"/>
      <c r="C200" s="4" t="n"/>
      <c r="D200" s="4" t="n"/>
      <c r="E200" s="4" t="n"/>
      <c r="F200" s="4" t="n"/>
      <c r="G200" s="31" t="n"/>
      <c r="H200" s="32" t="n"/>
      <c r="I200" s="32" t="n"/>
      <c r="J200" s="32" t="n"/>
      <c r="K200" s="20">
        <f>IF(AND(H200&lt;&gt;"",I200&lt;&gt;""),ABS(H200-I200),"")</f>
        <v/>
      </c>
      <c r="L200" s="33">
        <f>IFERROR(ABS(J200-H200)/K200,"")</f>
        <v/>
      </c>
      <c r="M200" s="4" t="n"/>
      <c r="N200" s="19">
        <f>IF(AND(K200&lt;&gt;"",M200&lt;&gt;""),K200*M200,"")</f>
        <v/>
      </c>
      <c r="O200" s="24">
        <f>IFERROR(N200/$B$3,"")</f>
        <v/>
      </c>
      <c r="P200" s="31" t="n"/>
      <c r="Q200" s="32" t="n"/>
      <c r="R200" s="4" t="n"/>
      <c r="S200" s="13" t="n"/>
      <c r="T200" s="33">
        <f>IFERROR(S200/N200,"")</f>
        <v/>
      </c>
      <c r="U200" s="4" t="n"/>
      <c r="V200" s="4" t="n"/>
      <c r="W200" s="4" t="n"/>
    </row>
    <row r="201">
      <c r="A201" s="30" t="n"/>
      <c r="B201" s="4" t="n"/>
      <c r="C201" s="4" t="n"/>
      <c r="D201" s="4" t="n"/>
      <c r="E201" s="4" t="n"/>
      <c r="F201" s="4" t="n"/>
      <c r="G201" s="31" t="n"/>
      <c r="H201" s="32" t="n"/>
      <c r="I201" s="32" t="n"/>
      <c r="J201" s="32" t="n"/>
      <c r="K201" s="20">
        <f>IF(AND(H201&lt;&gt;"",I201&lt;&gt;""),ABS(H201-I201),"")</f>
        <v/>
      </c>
      <c r="L201" s="33">
        <f>IFERROR(ABS(J201-H201)/K201,"")</f>
        <v/>
      </c>
      <c r="M201" s="4" t="n"/>
      <c r="N201" s="19">
        <f>IF(AND(K201&lt;&gt;"",M201&lt;&gt;""),K201*M201,"")</f>
        <v/>
      </c>
      <c r="O201" s="24">
        <f>IFERROR(N201/$B$3,"")</f>
        <v/>
      </c>
      <c r="P201" s="31" t="n"/>
      <c r="Q201" s="32" t="n"/>
      <c r="R201" s="4" t="n"/>
      <c r="S201" s="13" t="n"/>
      <c r="T201" s="33">
        <f>IFERROR(S201/N201,"")</f>
        <v/>
      </c>
      <c r="U201" s="4" t="n"/>
      <c r="V201" s="4" t="n"/>
      <c r="W201" s="4" t="n"/>
    </row>
    <row r="202">
      <c r="A202" s="30" t="n"/>
      <c r="B202" s="4" t="n"/>
      <c r="C202" s="4" t="n"/>
      <c r="D202" s="4" t="n"/>
      <c r="E202" s="4" t="n"/>
      <c r="F202" s="4" t="n"/>
      <c r="G202" s="31" t="n"/>
      <c r="H202" s="32" t="n"/>
      <c r="I202" s="32" t="n"/>
      <c r="J202" s="32" t="n"/>
      <c r="K202" s="20">
        <f>IF(AND(H202&lt;&gt;"",I202&lt;&gt;""),ABS(H202-I202),"")</f>
        <v/>
      </c>
      <c r="L202" s="33">
        <f>IFERROR(ABS(J202-H202)/K202,"")</f>
        <v/>
      </c>
      <c r="M202" s="4" t="n"/>
      <c r="N202" s="19">
        <f>IF(AND(K202&lt;&gt;"",M202&lt;&gt;""),K202*M202,"")</f>
        <v/>
      </c>
      <c r="O202" s="24">
        <f>IFERROR(N202/$B$3,"")</f>
        <v/>
      </c>
      <c r="P202" s="31" t="n"/>
      <c r="Q202" s="32" t="n"/>
      <c r="R202" s="4" t="n"/>
      <c r="S202" s="13" t="n"/>
      <c r="T202" s="33">
        <f>IFERROR(S202/N202,"")</f>
        <v/>
      </c>
      <c r="U202" s="4" t="n"/>
      <c r="V202" s="4" t="n"/>
      <c r="W202" s="4" t="n"/>
    </row>
    <row r="203">
      <c r="A203" s="30" t="n"/>
      <c r="B203" s="4" t="n"/>
      <c r="C203" s="4" t="n"/>
      <c r="D203" s="4" t="n"/>
      <c r="E203" s="4" t="n"/>
      <c r="F203" s="4" t="n"/>
      <c r="G203" s="31" t="n"/>
      <c r="H203" s="32" t="n"/>
      <c r="I203" s="32" t="n"/>
      <c r="J203" s="32" t="n"/>
      <c r="K203" s="20">
        <f>IF(AND(H203&lt;&gt;"",I203&lt;&gt;""),ABS(H203-I203),"")</f>
        <v/>
      </c>
      <c r="L203" s="33">
        <f>IFERROR(ABS(J203-H203)/K203,"")</f>
        <v/>
      </c>
      <c r="M203" s="4" t="n"/>
      <c r="N203" s="19">
        <f>IF(AND(K203&lt;&gt;"",M203&lt;&gt;""),K203*M203,"")</f>
        <v/>
      </c>
      <c r="O203" s="24">
        <f>IFERROR(N203/$B$3,"")</f>
        <v/>
      </c>
      <c r="P203" s="31" t="n"/>
      <c r="Q203" s="32" t="n"/>
      <c r="R203" s="4" t="n"/>
      <c r="S203" s="13" t="n"/>
      <c r="T203" s="33">
        <f>IFERROR(S203/N203,"")</f>
        <v/>
      </c>
      <c r="U203" s="4" t="n"/>
      <c r="V203" s="4" t="n"/>
      <c r="W203" s="4" t="n"/>
    </row>
    <row r="204">
      <c r="A204" s="30" t="n"/>
      <c r="B204" s="4" t="n"/>
      <c r="C204" s="4" t="n"/>
      <c r="D204" s="4" t="n"/>
      <c r="E204" s="4" t="n"/>
      <c r="F204" s="4" t="n"/>
      <c r="G204" s="31" t="n"/>
      <c r="H204" s="32" t="n"/>
      <c r="I204" s="32" t="n"/>
      <c r="J204" s="32" t="n"/>
      <c r="K204" s="20">
        <f>IF(AND(H204&lt;&gt;"",I204&lt;&gt;""),ABS(H204-I204),"")</f>
        <v/>
      </c>
      <c r="L204" s="33">
        <f>IFERROR(ABS(J204-H204)/K204,"")</f>
        <v/>
      </c>
      <c r="M204" s="4" t="n"/>
      <c r="N204" s="19">
        <f>IF(AND(K204&lt;&gt;"",M204&lt;&gt;""),K204*M204,"")</f>
        <v/>
      </c>
      <c r="O204" s="24">
        <f>IFERROR(N204/$B$3,"")</f>
        <v/>
      </c>
      <c r="P204" s="31" t="n"/>
      <c r="Q204" s="32" t="n"/>
      <c r="R204" s="4" t="n"/>
      <c r="S204" s="13" t="n"/>
      <c r="T204" s="33">
        <f>IFERROR(S204/N204,"")</f>
        <v/>
      </c>
      <c r="U204" s="4" t="n"/>
      <c r="V204" s="4" t="n"/>
      <c r="W204" s="4" t="n"/>
    </row>
    <row r="207">
      <c r="A207" s="9" t="inlineStr">
        <is>
          <t>SUMMARY (this journal)</t>
        </is>
      </c>
    </row>
    <row r="208">
      <c r="A208" s="12" t="inlineStr">
        <is>
          <t>Total Closed Trades</t>
        </is>
      </c>
      <c r="B208" s="27">
        <f>COUNT(S5:S204)</f>
        <v/>
      </c>
    </row>
    <row r="209">
      <c r="A209" s="12" t="inlineStr">
        <is>
          <t>Wins</t>
        </is>
      </c>
      <c r="B209" s="27">
        <f>COUNTIF(S5:S204,"&gt;0")</f>
        <v/>
      </c>
    </row>
    <row r="210">
      <c r="A210" s="12" t="inlineStr">
        <is>
          <t>Losses</t>
        </is>
      </c>
      <c r="B210" s="27">
        <f>COUNTIF(S5:S204,"&lt;=0")</f>
        <v/>
      </c>
    </row>
    <row r="211">
      <c r="A211" s="12" t="inlineStr">
        <is>
          <t>Win Rate</t>
        </is>
      </c>
      <c r="B211" s="24">
        <f>IFERROR(B209/B208,"")</f>
        <v/>
      </c>
    </row>
    <row r="212">
      <c r="A212" s="12" t="inlineStr">
        <is>
          <t>Gross Profit</t>
        </is>
      </c>
      <c r="B212" s="19">
        <f>SUMIF(S5:S204,"&gt;0")</f>
        <v/>
      </c>
    </row>
    <row r="213">
      <c r="A213" s="12" t="inlineStr">
        <is>
          <t>Gross Loss</t>
        </is>
      </c>
      <c r="B213" s="19">
        <f>SUMIF(S5:S204,"&lt;0")</f>
        <v/>
      </c>
    </row>
    <row r="214">
      <c r="A214" s="12" t="inlineStr">
        <is>
          <t>Net P&amp;L</t>
        </is>
      </c>
      <c r="B214" s="19">
        <f>SUM(S5:S204)</f>
        <v/>
      </c>
    </row>
    <row r="215">
      <c r="A215" s="12" t="inlineStr">
        <is>
          <t>Profit Factor</t>
        </is>
      </c>
      <c r="B215" s="34">
        <f>IFERROR(B212/ABS(B213),"")</f>
        <v/>
      </c>
    </row>
    <row r="216">
      <c r="A216" s="12" t="inlineStr">
        <is>
          <t>Average R Multiple (Expectancy)</t>
        </is>
      </c>
      <c r="B216" s="33">
        <f>IFERROR(AVERAGE(T5:T204),"")</f>
        <v/>
      </c>
    </row>
    <row r="217">
      <c r="A217" s="12" t="inlineStr">
        <is>
          <t>Trades Where All Rules Followed %</t>
        </is>
      </c>
      <c r="B217" s="24">
        <f>IFERROR(COUNTIF(V5:V204,"Y")/B208,"")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2026-09-22T13:53:26Z</dcterms:created>
  <dcterms:modified xsi:type="dcterms:W3CDTF">2026-09-22T13:53:26Z</dcterms:modified>
</cp:coreProperties>
</file>